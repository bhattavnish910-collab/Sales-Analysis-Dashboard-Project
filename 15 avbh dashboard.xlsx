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Avnish Bhatt\OneDrive\Documents\"/>
    </mc:Choice>
  </mc:AlternateContent>
  <xr:revisionPtr revIDLastSave="0" documentId="13_ncr:1_{7938EF00-6000-428B-BEF2-1BC3F32EF3FB}" xr6:coauthVersionLast="47" xr6:coauthVersionMax="47" xr10:uidLastSave="{00000000-0000-0000-0000-000000000000}"/>
  <bookViews>
    <workbookView xWindow="-108" yWindow="-108" windowWidth="23256" windowHeight="12456" activeTab="1" xr2:uid="{E17D3CEC-9F42-4FDF-A570-B8EFC4CD3D74}"/>
  </bookViews>
  <sheets>
    <sheet name="ABOUT" sheetId="12" r:id="rId1"/>
    <sheet name="Sheet3" sheetId="3" r:id="rId2"/>
    <sheet name="Sheet6" sheetId="6" r:id="rId3"/>
    <sheet name="15 avbh dashboard" sheetId="8" r:id="rId4"/>
    <sheet name="SALESMAN" sheetId="9" r:id="rId5"/>
    <sheet name="ITEMS" sheetId="11" r:id="rId6"/>
  </sheets>
  <definedNames>
    <definedName name="NativeTimeline_Date">#N/A</definedName>
    <definedName name="Slicer_Item">#N/A</definedName>
    <definedName name="Slicer_Region">#N/A</definedName>
    <definedName name="Slicer_Salesma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6" l="1"/>
  <c r="B41" i="6"/>
  <c r="B37" i="6"/>
  <c r="H2" i="3"/>
  <c r="H85" i="3"/>
  <c r="H84" i="3"/>
  <c r="H367" i="3"/>
  <c r="H366" i="3"/>
  <c r="H153" i="3"/>
  <c r="H119" i="3"/>
  <c r="H187" i="3"/>
  <c r="H271" i="3"/>
  <c r="H270" i="3"/>
  <c r="H269" i="3"/>
  <c r="H268" i="3"/>
  <c r="H267" i="3"/>
  <c r="H266" i="3"/>
  <c r="H265" i="3"/>
  <c r="H118" i="3"/>
  <c r="H120" i="3"/>
  <c r="H365" i="3"/>
  <c r="H264" i="3"/>
  <c r="H83" i="3"/>
  <c r="H263" i="3"/>
  <c r="H262" i="3"/>
  <c r="H364" i="3"/>
  <c r="H117" i="3"/>
  <c r="H363" i="3"/>
  <c r="H362" i="3"/>
  <c r="H361" i="3"/>
  <c r="H82" i="3"/>
  <c r="H116" i="3"/>
  <c r="H360" i="3"/>
  <c r="H81" i="3"/>
  <c r="H80" i="3"/>
  <c r="H261" i="3"/>
  <c r="H260" i="3"/>
  <c r="H259" i="3"/>
  <c r="H359" i="3"/>
  <c r="H358" i="3"/>
  <c r="H79" i="3"/>
  <c r="H357" i="3"/>
  <c r="H152" i="3"/>
  <c r="H115" i="3"/>
  <c r="H186" i="3"/>
  <c r="H258" i="3"/>
  <c r="H78" i="3"/>
  <c r="H356" i="3"/>
  <c r="H355" i="3"/>
  <c r="H354" i="3"/>
  <c r="H353" i="3"/>
  <c r="H352" i="3"/>
  <c r="H351" i="3"/>
  <c r="H151" i="3"/>
  <c r="H350" i="3"/>
  <c r="H257" i="3"/>
  <c r="H77" i="3"/>
  <c r="H185" i="3"/>
  <c r="H184" i="3"/>
  <c r="H349" i="3"/>
  <c r="H76" i="3"/>
  <c r="H348" i="3"/>
  <c r="H75" i="3"/>
  <c r="H74" i="3"/>
  <c r="H73" i="3"/>
  <c r="H150" i="3"/>
  <c r="H149" i="3"/>
  <c r="H72" i="3"/>
  <c r="H114" i="3"/>
  <c r="H256" i="3"/>
  <c r="H347" i="3"/>
  <c r="H113" i="3"/>
  <c r="H255" i="3"/>
  <c r="H183" i="3"/>
  <c r="H254" i="3"/>
  <c r="H346" i="3"/>
  <c r="H345" i="3"/>
  <c r="H344" i="3"/>
  <c r="H253" i="3"/>
  <c r="H71" i="3"/>
  <c r="H343" i="3"/>
  <c r="H252" i="3"/>
  <c r="H112" i="3"/>
  <c r="H182" i="3"/>
  <c r="H70" i="3"/>
  <c r="H148" i="3"/>
  <c r="H181" i="3"/>
  <c r="H69" i="3"/>
  <c r="H147" i="3"/>
  <c r="H342" i="3"/>
  <c r="H251" i="3"/>
  <c r="H250" i="3"/>
  <c r="H249" i="3"/>
  <c r="H68" i="3"/>
  <c r="H341" i="3"/>
  <c r="H146" i="3"/>
  <c r="H111" i="3"/>
  <c r="H180" i="3"/>
  <c r="H248" i="3"/>
  <c r="H340" i="3"/>
  <c r="H179" i="3"/>
  <c r="H145" i="3"/>
  <c r="H144" i="3"/>
  <c r="H143" i="3"/>
  <c r="H67" i="3"/>
  <c r="H247" i="3"/>
  <c r="H142" i="3"/>
  <c r="H246" i="3"/>
  <c r="H110" i="3"/>
  <c r="H66" i="3"/>
  <c r="H245" i="3"/>
  <c r="H178" i="3"/>
  <c r="H109" i="3"/>
  <c r="H141" i="3"/>
  <c r="H65" i="3"/>
  <c r="H64" i="3"/>
  <c r="H63" i="3"/>
  <c r="H62" i="3"/>
  <c r="H339" i="3"/>
  <c r="H177" i="3"/>
  <c r="H140" i="3"/>
  <c r="H338" i="3"/>
  <c r="H337" i="3"/>
  <c r="H61" i="3"/>
  <c r="H176" i="3"/>
  <c r="H108" i="3"/>
  <c r="H175" i="3"/>
  <c r="H244" i="3"/>
  <c r="H243" i="3"/>
  <c r="H242" i="3"/>
  <c r="H241" i="3"/>
  <c r="H240" i="3"/>
  <c r="H239" i="3"/>
  <c r="H238" i="3"/>
  <c r="H237" i="3"/>
  <c r="H60" i="3"/>
  <c r="H336" i="3"/>
  <c r="H59" i="3"/>
  <c r="H58" i="3"/>
  <c r="H139" i="3"/>
  <c r="H138" i="3"/>
  <c r="H57" i="3"/>
  <c r="H56" i="3"/>
  <c r="H335" i="3"/>
  <c r="H137" i="3"/>
  <c r="H174" i="3"/>
  <c r="H236" i="3"/>
  <c r="H55" i="3"/>
  <c r="H334" i="3"/>
  <c r="H54" i="3"/>
  <c r="H53" i="3"/>
  <c r="H136" i="3"/>
  <c r="H173" i="3"/>
  <c r="H235" i="3"/>
  <c r="H234" i="3"/>
  <c r="H233" i="3"/>
  <c r="H232" i="3"/>
  <c r="H231" i="3"/>
  <c r="H230" i="3"/>
  <c r="H229" i="3"/>
  <c r="H52" i="3"/>
  <c r="H172" i="3"/>
  <c r="H333" i="3"/>
  <c r="H107" i="3"/>
  <c r="H51" i="3"/>
  <c r="H50" i="3"/>
  <c r="H228" i="3"/>
  <c r="H332" i="3"/>
  <c r="H227" i="3"/>
  <c r="H171" i="3"/>
  <c r="H106" i="3"/>
  <c r="H135" i="3"/>
  <c r="H226" i="3"/>
  <c r="H49" i="3"/>
  <c r="H331" i="3"/>
  <c r="H134" i="3"/>
  <c r="H133" i="3"/>
  <c r="H330" i="3"/>
  <c r="H48" i="3"/>
  <c r="H170" i="3"/>
  <c r="H329" i="3"/>
  <c r="H225" i="3"/>
  <c r="H224" i="3"/>
  <c r="H47" i="3"/>
  <c r="H46" i="3"/>
  <c r="H45" i="3"/>
  <c r="H44" i="3"/>
  <c r="H43" i="3"/>
  <c r="H42" i="3"/>
  <c r="H41" i="3"/>
  <c r="H328" i="3"/>
  <c r="H40" i="3"/>
  <c r="H39" i="3"/>
  <c r="H105" i="3"/>
  <c r="H327" i="3"/>
  <c r="H223" i="3"/>
  <c r="H104" i="3"/>
  <c r="H38" i="3"/>
  <c r="H169" i="3"/>
  <c r="H326" i="3"/>
  <c r="H168" i="3"/>
  <c r="H222" i="3"/>
  <c r="H325" i="3"/>
  <c r="H103" i="3"/>
  <c r="H324" i="3"/>
  <c r="H323" i="3"/>
  <c r="H37" i="3"/>
  <c r="H102" i="3"/>
  <c r="H36" i="3"/>
  <c r="H35" i="3"/>
  <c r="H221" i="3"/>
  <c r="H167" i="3"/>
  <c r="H322" i="3"/>
  <c r="H321" i="3"/>
  <c r="H220" i="3"/>
  <c r="H166" i="3"/>
  <c r="H320" i="3"/>
  <c r="H132" i="3"/>
  <c r="H319" i="3"/>
  <c r="H34" i="3"/>
  <c r="H101" i="3"/>
  <c r="H219" i="3"/>
  <c r="H318" i="3"/>
  <c r="H317" i="3"/>
  <c r="H316" i="3"/>
  <c r="H33" i="3"/>
  <c r="H131" i="3"/>
  <c r="H130" i="3"/>
  <c r="H315" i="3"/>
  <c r="H165" i="3"/>
  <c r="H164" i="3"/>
  <c r="H32" i="3"/>
  <c r="H314" i="3"/>
  <c r="H129" i="3"/>
  <c r="H100" i="3"/>
  <c r="H163" i="3"/>
  <c r="H218" i="3"/>
  <c r="H31" i="3"/>
  <c r="H313" i="3"/>
  <c r="H312" i="3"/>
  <c r="H128" i="3"/>
  <c r="H30" i="3"/>
  <c r="H217" i="3"/>
  <c r="H162" i="3"/>
  <c r="H99" i="3"/>
  <c r="H311" i="3"/>
  <c r="H310" i="3"/>
  <c r="H309" i="3"/>
  <c r="H216" i="3"/>
  <c r="H98" i="3"/>
  <c r="H308" i="3"/>
  <c r="H307" i="3"/>
  <c r="H29" i="3"/>
  <c r="H215" i="3"/>
  <c r="H28" i="3"/>
  <c r="H306" i="3"/>
  <c r="H305" i="3"/>
  <c r="H304" i="3"/>
  <c r="H97" i="3"/>
  <c r="H96" i="3"/>
  <c r="H214" i="3"/>
  <c r="H27" i="3"/>
  <c r="H303" i="3"/>
  <c r="H213" i="3"/>
  <c r="H26" i="3"/>
  <c r="H127" i="3"/>
  <c r="H302" i="3"/>
  <c r="H25" i="3"/>
  <c r="H161" i="3"/>
  <c r="H24" i="3"/>
  <c r="H23" i="3"/>
  <c r="H126" i="3"/>
  <c r="H212" i="3"/>
  <c r="H211" i="3"/>
  <c r="H160" i="3"/>
  <c r="H125" i="3"/>
  <c r="H22" i="3"/>
  <c r="H159" i="3"/>
  <c r="H301" i="3"/>
  <c r="H210" i="3"/>
  <c r="H209" i="3"/>
  <c r="H21" i="3"/>
  <c r="H20" i="3"/>
  <c r="H19" i="3"/>
  <c r="H300" i="3"/>
  <c r="H95" i="3"/>
  <c r="H208" i="3"/>
  <c r="H299" i="3"/>
  <c r="H207" i="3"/>
  <c r="H18" i="3"/>
  <c r="H298" i="3"/>
  <c r="H297" i="3"/>
  <c r="H17" i="3"/>
  <c r="H94" i="3"/>
  <c r="H16" i="3"/>
  <c r="H206" i="3"/>
  <c r="H296" i="3"/>
  <c r="H158" i="3"/>
  <c r="H205" i="3"/>
  <c r="H204" i="3"/>
  <c r="H203" i="3"/>
  <c r="H202" i="3"/>
  <c r="H201" i="3"/>
  <c r="H200" i="3"/>
  <c r="H15" i="3"/>
  <c r="H14" i="3"/>
  <c r="H157" i="3"/>
  <c r="H13" i="3"/>
  <c r="H295" i="3"/>
  <c r="H199" i="3"/>
  <c r="H93" i="3"/>
  <c r="H124" i="3"/>
  <c r="H294" i="3"/>
  <c r="H198" i="3"/>
  <c r="H293" i="3"/>
  <c r="H92" i="3"/>
  <c r="H292" i="3"/>
  <c r="H291" i="3"/>
  <c r="H156" i="3"/>
  <c r="H12" i="3"/>
  <c r="H290" i="3"/>
  <c r="H289" i="3"/>
  <c r="H288" i="3"/>
  <c r="H11" i="3"/>
  <c r="H91" i="3"/>
  <c r="H287" i="3"/>
  <c r="H10" i="3"/>
  <c r="H197" i="3"/>
  <c r="H196" i="3"/>
  <c r="H195" i="3"/>
  <c r="H90" i="3"/>
  <c r="H9" i="3"/>
  <c r="H194" i="3"/>
  <c r="H286" i="3"/>
  <c r="H8" i="3"/>
  <c r="H285" i="3"/>
  <c r="H7" i="3"/>
  <c r="H284" i="3"/>
  <c r="H123" i="3"/>
  <c r="H89" i="3"/>
  <c r="H155" i="3"/>
  <c r="H193" i="3"/>
  <c r="H6" i="3"/>
  <c r="H283" i="3"/>
  <c r="H282" i="3"/>
  <c r="H281" i="3"/>
  <c r="H280" i="3"/>
  <c r="H279" i="3"/>
  <c r="H192" i="3"/>
  <c r="H5" i="3"/>
  <c r="H88" i="3"/>
  <c r="H122" i="3"/>
  <c r="H278" i="3"/>
  <c r="H4" i="3"/>
  <c r="H191" i="3"/>
  <c r="H3" i="3"/>
  <c r="H277" i="3"/>
  <c r="H87" i="3"/>
  <c r="H276" i="3"/>
  <c r="H275" i="3"/>
  <c r="H274" i="3"/>
  <c r="H273" i="3"/>
  <c r="H272" i="3"/>
  <c r="H121" i="3"/>
  <c r="H86" i="3"/>
  <c r="H154" i="3"/>
  <c r="H190" i="3"/>
  <c r="H189" i="3"/>
  <c r="H188" i="3"/>
</calcChain>
</file>

<file path=xl/sharedStrings.xml><?xml version="1.0" encoding="utf-8"?>
<sst xmlns="http://schemas.openxmlformats.org/spreadsheetml/2006/main" count="1202" uniqueCount="32">
  <si>
    <t>S No</t>
  </si>
  <si>
    <t>Date</t>
  </si>
  <si>
    <t>Salesman</t>
  </si>
  <si>
    <t>Region</t>
  </si>
  <si>
    <t>Item</t>
  </si>
  <si>
    <t>Qty</t>
  </si>
  <si>
    <t>Price</t>
  </si>
  <si>
    <t>Amount</t>
  </si>
  <si>
    <t>Ajit Kumar</t>
  </si>
  <si>
    <t>East</t>
  </si>
  <si>
    <t>Printer</t>
  </si>
  <si>
    <t>Rohit Das</t>
  </si>
  <si>
    <t>West</t>
  </si>
  <si>
    <t>North</t>
  </si>
  <si>
    <t>South</t>
  </si>
  <si>
    <t>Ramesh</t>
  </si>
  <si>
    <t>Amit</t>
  </si>
  <si>
    <t>Chandu</t>
  </si>
  <si>
    <t>Siddhu</t>
  </si>
  <si>
    <t>Monitor</t>
  </si>
  <si>
    <t>Scanner</t>
  </si>
  <si>
    <t>Speaker</t>
  </si>
  <si>
    <t>Mouse</t>
  </si>
  <si>
    <t>Keyboard</t>
  </si>
  <si>
    <t>Avnish bhatt</t>
  </si>
  <si>
    <t>west</t>
  </si>
  <si>
    <t>Row Labels</t>
  </si>
  <si>
    <t>Grand Total</t>
  </si>
  <si>
    <t>Sum of Price</t>
  </si>
  <si>
    <t>Sum of Amount</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</si>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</sst>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Gill Sans MT"/>
      <family val="2"/>
      <scheme val="minor"/>
    </font>
    <font>
      <b/>
      <sz val="11"/>
      <color theme="1"/>
      <name val="Gill Sans MT"/>
      <family val="2"/>
      <scheme val="minor"/>
    </font>
    <font>
      <b/>
      <sz val="14"/>
      <color theme="1"/>
      <name val="Gill Sans MT"/>
      <family val="2"/>
      <scheme val="minor"/>
    </font>
    <font>
      <sz val="11"/>
      <color theme="1"/>
      <name val="Arial Rounded MT Bold"/>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xf>
    <xf numFmtId="164" fontId="0" fillId="0" borderId="0" xfId="0" applyNumberFormat="1"/>
    <xf numFmtId="14" fontId="1" fillId="0" borderId="1" xfId="0" applyNumberFormat="1" applyFont="1" applyBorder="1" applyAlignment="1">
      <alignment horizontal="center"/>
    </xf>
    <xf numFmtId="164" fontId="2" fillId="2" borderId="1" xfId="0" applyNumberFormat="1" applyFont="1" applyFill="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1" fillId="0" borderId="2" xfId="0" applyFont="1" applyBorder="1" applyAlignment="1">
      <alignment horizontal="center"/>
    </xf>
    <xf numFmtId="164" fontId="1" fillId="0" borderId="0" xfId="0" applyNumberFormat="1" applyFont="1" applyAlignment="1">
      <alignment horizontal="center"/>
    </xf>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65" fontId="0" fillId="0" borderId="0" xfId="0" applyNumberFormat="1"/>
    <xf numFmtId="3" fontId="0" fillId="0" borderId="0" xfId="0" applyNumberFormat="1"/>
    <xf numFmtId="0" fontId="3" fillId="0" borderId="0" xfId="0" applyFont="1"/>
  </cellXfs>
  <cellStyles count="1">
    <cellStyle name="Normal" xfId="0" builtinId="0"/>
  </cellStyles>
  <dxfs count="5">
    <dxf>
      <numFmt numFmtId="1" formatCode="0"/>
    </dxf>
    <dxf>
      <numFmt numFmtId="1" formatCode="0"/>
    </dxf>
    <dxf>
      <numFmt numFmtId="1" formatCode="0"/>
    </dxf>
    <dxf>
      <numFmt numFmtId="1" formatCode="0"/>
    </dxf>
    <dxf>
      <numFmt numFmtId="165" formatCode="0.0"/>
    </dxf>
  </dxfs>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dashboard.xlsx]Sheet6!PivotTable1</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Keyboard</c:v>
                </c:pt>
                <c:pt idx="1">
                  <c:v>Monitor</c:v>
                </c:pt>
                <c:pt idx="2">
                  <c:v>Mouse</c:v>
                </c:pt>
                <c:pt idx="3">
                  <c:v>Printer</c:v>
                </c:pt>
                <c:pt idx="4">
                  <c:v>Scanner</c:v>
                </c:pt>
                <c:pt idx="5">
                  <c:v>Speaker</c:v>
                </c:pt>
              </c:strCache>
            </c:strRef>
          </c:cat>
          <c:val>
            <c:numRef>
              <c:f>Sheet6!$B$4:$B$10</c:f>
              <c:numCache>
                <c:formatCode>0.00%</c:formatCode>
                <c:ptCount val="6"/>
                <c:pt idx="0">
                  <c:v>1.3991349374204081E-2</c:v>
                </c:pt>
                <c:pt idx="1">
                  <c:v>0.19017912742001536</c:v>
                </c:pt>
                <c:pt idx="2">
                  <c:v>3.7110174863817159E-2</c:v>
                </c:pt>
                <c:pt idx="3">
                  <c:v>0.52444559137854618</c:v>
                </c:pt>
                <c:pt idx="4">
                  <c:v>0.19758433238150269</c:v>
                </c:pt>
                <c:pt idx="5">
                  <c:v>3.6689424581914473E-2</c:v>
                </c:pt>
              </c:numCache>
            </c:numRef>
          </c:val>
          <c:extLst>
            <c:ext xmlns:c16="http://schemas.microsoft.com/office/drawing/2014/chart" uri="{C3380CC4-5D6E-409C-BE32-E72D297353CC}">
              <c16:uniqueId val="{00000000-39F3-4CEB-BB5C-7C088DC2761A}"/>
            </c:ext>
          </c:extLst>
        </c:ser>
        <c:dLbls>
          <c:showLegendKey val="0"/>
          <c:showVal val="1"/>
          <c:showCatName val="0"/>
          <c:showSerName val="0"/>
          <c:showPercent val="0"/>
          <c:showBubbleSize val="0"/>
        </c:dLbls>
        <c:gapWidth val="150"/>
        <c:shape val="box"/>
        <c:axId val="1348359984"/>
        <c:axId val="1348360464"/>
        <c:axId val="0"/>
      </c:bar3DChart>
      <c:catAx>
        <c:axId val="134835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48360464"/>
        <c:crosses val="autoZero"/>
        <c:auto val="1"/>
        <c:lblAlgn val="ctr"/>
        <c:lblOffset val="100"/>
        <c:noMultiLvlLbl val="0"/>
      </c:catAx>
      <c:valAx>
        <c:axId val="1348360464"/>
        <c:scaling>
          <c:orientation val="minMax"/>
        </c:scaling>
        <c:delete val="1"/>
        <c:axPos val="b"/>
        <c:numFmt formatCode="0.00%" sourceLinked="1"/>
        <c:majorTickMark val="out"/>
        <c:minorTickMark val="none"/>
        <c:tickLblPos val="nextTo"/>
        <c:crossAx val="134835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388888888888888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8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Sheet6!$E$3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1B7F-49A3-9D5C-60CFD8606EB6}"/>
              </c:ext>
            </c:extLst>
          </c:dPt>
          <c:dPt>
            <c:idx val="1"/>
            <c:invertIfNegative val="0"/>
            <c:bubble3D val="0"/>
            <c:extLst>
              <c:ext xmlns:c16="http://schemas.microsoft.com/office/drawing/2014/chart" uri="{C3380CC4-5D6E-409C-BE32-E72D297353CC}">
                <c16:uniqueId val="{00000003-1B7F-49A3-9D5C-60CFD8606EB6}"/>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4-1B7F-49A3-9D5C-60CFD8606EB6}"/>
              </c:ext>
            </c:extLst>
          </c:dPt>
          <c:dPt>
            <c:idx val="3"/>
            <c:invertIfNegative val="0"/>
            <c:bubble3D val="0"/>
            <c:extLst>
              <c:ext xmlns:c16="http://schemas.microsoft.com/office/drawing/2014/chart" uri="{C3380CC4-5D6E-409C-BE32-E72D297353CC}">
                <c16:uniqueId val="{00000005-1B7F-49A3-9D5C-60CFD8606EB6}"/>
              </c:ext>
            </c:extLst>
          </c:dPt>
          <c:dLbls>
            <c:dLbl>
              <c:idx val="0"/>
              <c:layout>
                <c:manualLayout>
                  <c:x val="-1.388888888888888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7F-49A3-9D5C-60CFD8606EB6}"/>
                </c:ext>
              </c:extLst>
            </c:dLbl>
            <c:dLbl>
              <c:idx val="1"/>
              <c:layout>
                <c:manualLayout>
                  <c:x val="-8.3333333333333332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7F-49A3-9D5C-60CFD8606EB6}"/>
                </c:ext>
              </c:extLst>
            </c:dLbl>
            <c:dLbl>
              <c:idx val="2"/>
              <c:layout>
                <c:manualLayout>
                  <c:x val="-1.388888888888888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7F-49A3-9D5C-60CFD8606EB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Sheet6!$D$4:$D$8</c:f>
              <c:strCache>
                <c:ptCount val="4"/>
                <c:pt idx="0">
                  <c:v>East</c:v>
                </c:pt>
                <c:pt idx="1">
                  <c:v>North</c:v>
                </c:pt>
                <c:pt idx="2">
                  <c:v>South</c:v>
                </c:pt>
                <c:pt idx="3">
                  <c:v>West</c:v>
                </c:pt>
              </c:strCache>
            </c:strRef>
          </c:cat>
          <c:val>
            <c:numRef>
              <c:f>Sheet6!$E$4:$E$8</c:f>
              <c:numCache>
                <c:formatCode>0</c:formatCode>
                <c:ptCount val="4"/>
                <c:pt idx="0">
                  <c:v>143890</c:v>
                </c:pt>
                <c:pt idx="1">
                  <c:v>35820</c:v>
                </c:pt>
                <c:pt idx="2">
                  <c:v>64070</c:v>
                </c:pt>
                <c:pt idx="3">
                  <c:v>91740</c:v>
                </c:pt>
              </c:numCache>
            </c:numRef>
          </c:val>
          <c:extLst>
            <c:ext xmlns:c16="http://schemas.microsoft.com/office/drawing/2014/chart" uri="{C3380CC4-5D6E-409C-BE32-E72D297353CC}">
              <c16:uniqueId val="{00000000-1B7F-49A3-9D5C-60CFD8606EB6}"/>
            </c:ext>
          </c:extLst>
        </c:ser>
        <c:dLbls>
          <c:showLegendKey val="0"/>
          <c:showVal val="1"/>
          <c:showCatName val="0"/>
          <c:showSerName val="0"/>
          <c:showPercent val="0"/>
          <c:showBubbleSize val="0"/>
        </c:dLbls>
        <c:gapWidth val="150"/>
        <c:shape val="box"/>
        <c:axId val="922340640"/>
        <c:axId val="922341120"/>
        <c:axId val="0"/>
      </c:bar3DChart>
      <c:catAx>
        <c:axId val="922340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22341120"/>
        <c:crosses val="autoZero"/>
        <c:auto val="1"/>
        <c:lblAlgn val="ctr"/>
        <c:lblOffset val="100"/>
        <c:noMultiLvlLbl val="0"/>
      </c:catAx>
      <c:valAx>
        <c:axId val="922341120"/>
        <c:scaling>
          <c:orientation val="minMax"/>
        </c:scaling>
        <c:delete val="1"/>
        <c:axPos val="l"/>
        <c:numFmt formatCode="0" sourceLinked="1"/>
        <c:majorTickMark val="out"/>
        <c:minorTickMark val="none"/>
        <c:tickLblPos val="nextTo"/>
        <c:crossAx val="9223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dashboard.xlsx]Sheet6!PivotTable3</c:name>
    <c:fmtId val="7"/>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Sheet6!$G$4:$G$11</c:f>
              <c:strCache>
                <c:ptCount val="7"/>
                <c:pt idx="0">
                  <c:v>Avnish bhatt</c:v>
                </c:pt>
                <c:pt idx="1">
                  <c:v>Ajit Kumar</c:v>
                </c:pt>
                <c:pt idx="2">
                  <c:v>Amit</c:v>
                </c:pt>
                <c:pt idx="3">
                  <c:v>Chandu</c:v>
                </c:pt>
                <c:pt idx="4">
                  <c:v>Ramesh</c:v>
                </c:pt>
                <c:pt idx="5">
                  <c:v>Rohit Das</c:v>
                </c:pt>
                <c:pt idx="6">
                  <c:v>Siddhu</c:v>
                </c:pt>
              </c:strCache>
            </c:strRef>
          </c:cat>
          <c:val>
            <c:numRef>
              <c:f>Sheet6!$H$4:$H$11</c:f>
              <c:numCache>
                <c:formatCode>0.000</c:formatCode>
                <c:ptCount val="7"/>
                <c:pt idx="0">
                  <c:v>2</c:v>
                </c:pt>
                <c:pt idx="1">
                  <c:v>394</c:v>
                </c:pt>
                <c:pt idx="2">
                  <c:v>146</c:v>
                </c:pt>
                <c:pt idx="3">
                  <c:v>142</c:v>
                </c:pt>
                <c:pt idx="4">
                  <c:v>144</c:v>
                </c:pt>
                <c:pt idx="5">
                  <c:v>360</c:v>
                </c:pt>
                <c:pt idx="6">
                  <c:v>419</c:v>
                </c:pt>
              </c:numCache>
            </c:numRef>
          </c:val>
          <c:smooth val="0"/>
          <c:extLst>
            <c:ext xmlns:c16="http://schemas.microsoft.com/office/drawing/2014/chart" uri="{C3380CC4-5D6E-409C-BE32-E72D297353CC}">
              <c16:uniqueId val="{00000000-59EB-45AB-B506-C2AFE5BB8AE2}"/>
            </c:ext>
          </c:extLst>
        </c:ser>
        <c:dLbls>
          <c:showLegendKey val="0"/>
          <c:showVal val="0"/>
          <c:showCatName val="0"/>
          <c:showSerName val="0"/>
          <c:showPercent val="0"/>
          <c:showBubbleSize val="0"/>
        </c:dLbls>
        <c:marker val="1"/>
        <c:smooth val="0"/>
        <c:axId val="1348384944"/>
        <c:axId val="1348385424"/>
      </c:lineChart>
      <c:catAx>
        <c:axId val="13483849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48385424"/>
        <c:crosses val="autoZero"/>
        <c:auto val="1"/>
        <c:lblAlgn val="ctr"/>
        <c:lblOffset val="100"/>
        <c:noMultiLvlLbl val="0"/>
      </c:catAx>
      <c:valAx>
        <c:axId val="1348385424"/>
        <c:scaling>
          <c:orientation val="minMax"/>
        </c:scaling>
        <c:delete val="1"/>
        <c:axPos val="l"/>
        <c:numFmt formatCode="0.000" sourceLinked="1"/>
        <c:majorTickMark val="none"/>
        <c:minorTickMark val="none"/>
        <c:tickLblPos val="nextTo"/>
        <c:crossAx val="134838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dashboard.xlsx]Sheet6!PivotTable4</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Sheet6!$K$3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11A-4133-8B76-536E38E324B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11A-4133-8B76-536E38E324B7}"/>
              </c:ext>
            </c:extLst>
          </c:dPt>
          <c:dPt>
            <c:idx val="2"/>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11A-4133-8B76-536E38E324B7}"/>
              </c:ext>
            </c:extLst>
          </c:dPt>
          <c:dPt>
            <c:idx val="3"/>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11A-4133-8B76-536E38E324B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11A-4133-8B76-536E38E324B7}"/>
              </c:ext>
            </c:extLst>
          </c:dPt>
          <c:dPt>
            <c:idx val="5"/>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811A-4133-8B76-536E38E324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Sheet6!$J$4:$J$10</c:f>
              <c:strCache>
                <c:ptCount val="6"/>
                <c:pt idx="0">
                  <c:v>Keyboard</c:v>
                </c:pt>
                <c:pt idx="1">
                  <c:v>Monitor</c:v>
                </c:pt>
                <c:pt idx="2">
                  <c:v>Mouse</c:v>
                </c:pt>
                <c:pt idx="3">
                  <c:v>Printer</c:v>
                </c:pt>
                <c:pt idx="4">
                  <c:v>Scanner</c:v>
                </c:pt>
                <c:pt idx="5">
                  <c:v>Speaker</c:v>
                </c:pt>
              </c:strCache>
            </c:strRef>
          </c:cat>
          <c:val>
            <c:numRef>
              <c:f>Sheet6!$K$4:$K$10</c:f>
              <c:numCache>
                <c:formatCode>0.000</c:formatCode>
                <c:ptCount val="6"/>
                <c:pt idx="0">
                  <c:v>130</c:v>
                </c:pt>
                <c:pt idx="1">
                  <c:v>251</c:v>
                </c:pt>
                <c:pt idx="2">
                  <c:v>319</c:v>
                </c:pt>
                <c:pt idx="3">
                  <c:v>447</c:v>
                </c:pt>
                <c:pt idx="4">
                  <c:v>242</c:v>
                </c:pt>
                <c:pt idx="5">
                  <c:v>218</c:v>
                </c:pt>
              </c:numCache>
            </c:numRef>
          </c:val>
          <c:extLst>
            <c:ext xmlns:c16="http://schemas.microsoft.com/office/drawing/2014/chart" uri="{C3380CC4-5D6E-409C-BE32-E72D297353CC}">
              <c16:uniqueId val="{00000000-811A-4133-8B76-536E38E324B7}"/>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Sheet6!$N$4:$N$8</c:f>
              <c:strCache>
                <c:ptCount val="4"/>
                <c:pt idx="0">
                  <c:v>East</c:v>
                </c:pt>
                <c:pt idx="1">
                  <c:v>North</c:v>
                </c:pt>
                <c:pt idx="2">
                  <c:v>South</c:v>
                </c:pt>
                <c:pt idx="3">
                  <c:v>West</c:v>
                </c:pt>
              </c:strCache>
            </c:strRef>
          </c:cat>
          <c:val>
            <c:numRef>
              <c:f>Sheet6!$O$4:$O$8</c:f>
              <c:numCache>
                <c:formatCode>0.0</c:formatCode>
                <c:ptCount val="4"/>
                <c:pt idx="0">
                  <c:v>735</c:v>
                </c:pt>
                <c:pt idx="1">
                  <c:v>189</c:v>
                </c:pt>
                <c:pt idx="2">
                  <c:v>272</c:v>
                </c:pt>
                <c:pt idx="3">
                  <c:v>411</c:v>
                </c:pt>
              </c:numCache>
            </c:numRef>
          </c:val>
          <c:extLst>
            <c:ext xmlns:c16="http://schemas.microsoft.com/office/drawing/2014/chart" uri="{C3380CC4-5D6E-409C-BE32-E72D297353CC}">
              <c16:uniqueId val="{00000000-B3CD-47F2-B881-7AF3E3CFFA89}"/>
            </c:ext>
          </c:extLst>
        </c:ser>
        <c:dLbls>
          <c:dLblPos val="outEnd"/>
          <c:showLegendKey val="0"/>
          <c:showVal val="1"/>
          <c:showCatName val="0"/>
          <c:showSerName val="0"/>
          <c:showPercent val="0"/>
          <c:showBubbleSize val="0"/>
        </c:dLbls>
        <c:gapWidth val="182"/>
        <c:axId val="1348336944"/>
        <c:axId val="1348337904"/>
      </c:barChart>
      <c:catAx>
        <c:axId val="1348336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48337904"/>
        <c:crosses val="autoZero"/>
        <c:auto val="1"/>
        <c:lblAlgn val="ctr"/>
        <c:lblOffset val="100"/>
        <c:noMultiLvlLbl val="0"/>
      </c:catAx>
      <c:valAx>
        <c:axId val="1348337904"/>
        <c:scaling>
          <c:orientation val="minMax"/>
        </c:scaling>
        <c:delete val="1"/>
        <c:axPos val="b"/>
        <c:numFmt formatCode="0.0" sourceLinked="1"/>
        <c:majorTickMark val="none"/>
        <c:minorTickMark val="none"/>
        <c:tickLblPos val="nextTo"/>
        <c:crossAx val="13483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dashboard.xlsx]Sheet6!PivotTable18</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Sheet6!$E$43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Sheet6!$D$44:$D$51</c:f>
              <c:strCache>
                <c:ptCount val="7"/>
                <c:pt idx="0">
                  <c:v>Avnish bhatt</c:v>
                </c:pt>
                <c:pt idx="1">
                  <c:v>Ajit Kumar</c:v>
                </c:pt>
                <c:pt idx="2">
                  <c:v>Amit</c:v>
                </c:pt>
                <c:pt idx="3">
                  <c:v>Chandu</c:v>
                </c:pt>
                <c:pt idx="4">
                  <c:v>Ramesh</c:v>
                </c:pt>
                <c:pt idx="5">
                  <c:v>Rohit Das</c:v>
                </c:pt>
                <c:pt idx="6">
                  <c:v>Siddhu</c:v>
                </c:pt>
              </c:strCache>
            </c:strRef>
          </c:cat>
          <c:val>
            <c:numRef>
              <c:f>Sheet6!$E$44:$E$51</c:f>
              <c:numCache>
                <c:formatCode>0.00%</c:formatCode>
                <c:ptCount val="7"/>
                <c:pt idx="0">
                  <c:v>1.2445550715619166E-3</c:v>
                </c:pt>
                <c:pt idx="1">
                  <c:v>0.24517734909769756</c:v>
                </c:pt>
                <c:pt idx="2">
                  <c:v>9.085252022401992E-2</c:v>
                </c:pt>
                <c:pt idx="3">
                  <c:v>8.8363410080896085E-2</c:v>
                </c:pt>
                <c:pt idx="4">
                  <c:v>8.9607965152458002E-2</c:v>
                </c:pt>
                <c:pt idx="5">
                  <c:v>0.22401991288114498</c:v>
                </c:pt>
                <c:pt idx="6">
                  <c:v>0.26073428749222155</c:v>
                </c:pt>
              </c:numCache>
            </c:numRef>
          </c:val>
          <c:extLst>
            <c:ext xmlns:c16="http://schemas.microsoft.com/office/drawing/2014/chart" uri="{C3380CC4-5D6E-409C-BE32-E72D297353CC}">
              <c16:uniqueId val="{00000000-2CCD-4E0D-9AEF-316A20694B2B}"/>
            </c:ext>
          </c:extLst>
        </c:ser>
        <c:dLbls>
          <c:showLegendKey val="0"/>
          <c:showVal val="1"/>
          <c:showCatName val="0"/>
          <c:showSerName val="0"/>
          <c:showPercent val="0"/>
          <c:showBubbleSize val="0"/>
        </c:dLbls>
        <c:gapWidth val="150"/>
        <c:shape val="box"/>
        <c:axId val="1349609376"/>
        <c:axId val="1349607456"/>
        <c:axId val="0"/>
      </c:bar3DChart>
      <c:catAx>
        <c:axId val="1349609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49607456"/>
        <c:crosses val="autoZero"/>
        <c:auto val="1"/>
        <c:lblAlgn val="ctr"/>
        <c:lblOffset val="100"/>
        <c:noMultiLvlLbl val="0"/>
      </c:catAx>
      <c:valAx>
        <c:axId val="1349607456"/>
        <c:scaling>
          <c:orientation val="minMax"/>
        </c:scaling>
        <c:delete val="1"/>
        <c:axPos val="b"/>
        <c:numFmt formatCode="0.00%" sourceLinked="1"/>
        <c:majorTickMark val="out"/>
        <c:minorTickMark val="none"/>
        <c:tickLblPos val="nextTo"/>
        <c:crossAx val="13496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dashboard.xlsx]Sheet6!PivotTable19</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Sheet6!$H$43</c:f>
              <c:strCache>
                <c:ptCount val="1"/>
                <c:pt idx="0">
                  <c:v>Total</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2-E377-4AF7-B517-4AF0F02C4F59}"/>
              </c:ext>
            </c:extLst>
          </c:dPt>
          <c:dPt>
            <c:idx val="2"/>
            <c:invertIfNegative val="0"/>
            <c:bubble3D val="0"/>
            <c:extLst>
              <c:ext xmlns:c16="http://schemas.microsoft.com/office/drawing/2014/chart" uri="{C3380CC4-5D6E-409C-BE32-E72D297353CC}">
                <c16:uniqueId val="{00000003-E377-4AF7-B517-4AF0F02C4F59}"/>
              </c:ext>
            </c:extLst>
          </c:dPt>
          <c:dPt>
            <c:idx val="3"/>
            <c:invertIfNegative val="0"/>
            <c:bubble3D val="0"/>
            <c:extLst>
              <c:ext xmlns:c16="http://schemas.microsoft.com/office/drawing/2014/chart" uri="{C3380CC4-5D6E-409C-BE32-E72D297353CC}">
                <c16:uniqueId val="{00000004-E377-4AF7-B517-4AF0F02C4F59}"/>
              </c:ext>
            </c:extLst>
          </c:dPt>
          <c:dPt>
            <c:idx val="4"/>
            <c:invertIfNegative val="0"/>
            <c:bubble3D val="0"/>
            <c:extLst>
              <c:ext xmlns:c16="http://schemas.microsoft.com/office/drawing/2014/chart" uri="{C3380CC4-5D6E-409C-BE32-E72D297353CC}">
                <c16:uniqueId val="{00000008-3EC7-4319-BAD6-1BC059374790}"/>
              </c:ext>
            </c:extLst>
          </c:dPt>
          <c:dPt>
            <c:idx val="5"/>
            <c:invertIfNegative val="0"/>
            <c:bubble3D val="0"/>
            <c:extLst>
              <c:ext xmlns:c16="http://schemas.microsoft.com/office/drawing/2014/chart" uri="{C3380CC4-5D6E-409C-BE32-E72D297353CC}">
                <c16:uniqueId val="{00000002-880B-4ABF-846E-5D4914CB54CD}"/>
              </c:ext>
            </c:extLst>
          </c:dPt>
          <c:dPt>
            <c:idx val="6"/>
            <c:invertIfNegative val="0"/>
            <c:bubble3D val="0"/>
            <c:extLst>
              <c:ext xmlns:c16="http://schemas.microsoft.com/office/drawing/2014/chart" uri="{C3380CC4-5D6E-409C-BE32-E72D297353CC}">
                <c16:uniqueId val="{00000003-880B-4ABF-846E-5D4914CB54C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Sheet6!$G$44:$G$51</c:f>
              <c:strCache>
                <c:ptCount val="7"/>
                <c:pt idx="0">
                  <c:v>Avnish bhatt</c:v>
                </c:pt>
                <c:pt idx="1">
                  <c:v>Ajit Kumar</c:v>
                </c:pt>
                <c:pt idx="2">
                  <c:v>Amit</c:v>
                </c:pt>
                <c:pt idx="3">
                  <c:v>Chandu</c:v>
                </c:pt>
                <c:pt idx="4">
                  <c:v>Ramesh</c:v>
                </c:pt>
                <c:pt idx="5">
                  <c:v>Rohit Das</c:v>
                </c:pt>
                <c:pt idx="6">
                  <c:v>Siddhu</c:v>
                </c:pt>
              </c:strCache>
            </c:strRef>
          </c:cat>
          <c:val>
            <c:numRef>
              <c:f>Sheet6!$H$44:$H$51</c:f>
              <c:numCache>
                <c:formatCode>0.00%</c:formatCode>
                <c:ptCount val="7"/>
                <c:pt idx="0">
                  <c:v>1.2445550715619166E-3</c:v>
                </c:pt>
                <c:pt idx="1">
                  <c:v>0.24517734909769756</c:v>
                </c:pt>
                <c:pt idx="2">
                  <c:v>9.085252022401992E-2</c:v>
                </c:pt>
                <c:pt idx="3">
                  <c:v>8.8363410080896085E-2</c:v>
                </c:pt>
                <c:pt idx="4">
                  <c:v>8.9607965152458002E-2</c:v>
                </c:pt>
                <c:pt idx="5">
                  <c:v>0.22401991288114498</c:v>
                </c:pt>
                <c:pt idx="6">
                  <c:v>0.26073428749222155</c:v>
                </c:pt>
              </c:numCache>
            </c:numRef>
          </c:val>
          <c:extLst>
            <c:ext xmlns:c16="http://schemas.microsoft.com/office/drawing/2014/chart" uri="{C3380CC4-5D6E-409C-BE32-E72D297353CC}">
              <c16:uniqueId val="{00000000-E377-4AF7-B517-4AF0F02C4F59}"/>
            </c:ext>
          </c:extLst>
        </c:ser>
        <c:dLbls>
          <c:showLegendKey val="0"/>
          <c:showVal val="1"/>
          <c:showCatName val="0"/>
          <c:showSerName val="0"/>
          <c:showPercent val="0"/>
          <c:showBubbleSize val="0"/>
        </c:dLbls>
        <c:gapWidth val="150"/>
        <c:shape val="box"/>
        <c:axId val="1771126480"/>
        <c:axId val="1771119760"/>
        <c:axId val="0"/>
      </c:bar3DChart>
      <c:catAx>
        <c:axId val="1771126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71119760"/>
        <c:crosses val="autoZero"/>
        <c:auto val="1"/>
        <c:lblAlgn val="ctr"/>
        <c:lblOffset val="100"/>
        <c:noMultiLvlLbl val="0"/>
      </c:catAx>
      <c:valAx>
        <c:axId val="1771119760"/>
        <c:scaling>
          <c:orientation val="minMax"/>
        </c:scaling>
        <c:delete val="1"/>
        <c:axPos val="l"/>
        <c:numFmt formatCode="0.00%" sourceLinked="1"/>
        <c:majorTickMark val="out"/>
        <c:minorTickMark val="none"/>
        <c:tickLblPos val="nextTo"/>
        <c:crossAx val="177112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dashboard.xlsx]Sheet6!PivotTable20</c:name>
    <c:fmtId val="16"/>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Sheet6!$K$43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Sheet6!$J$44:$J$51</c:f>
              <c:strCache>
                <c:ptCount val="7"/>
                <c:pt idx="0">
                  <c:v>Avnish bhatt</c:v>
                </c:pt>
                <c:pt idx="1">
                  <c:v>Ajit Kumar</c:v>
                </c:pt>
                <c:pt idx="2">
                  <c:v>Amit</c:v>
                </c:pt>
                <c:pt idx="3">
                  <c:v>Chandu</c:v>
                </c:pt>
                <c:pt idx="4">
                  <c:v>Ramesh</c:v>
                </c:pt>
                <c:pt idx="5">
                  <c:v>Rohit Das</c:v>
                </c:pt>
                <c:pt idx="6">
                  <c:v>Siddhu</c:v>
                </c:pt>
              </c:strCache>
            </c:strRef>
          </c:cat>
          <c:val>
            <c:numRef>
              <c:f>Sheet6!$K$44:$K$51</c:f>
              <c:numCache>
                <c:formatCode>0.00%</c:formatCode>
                <c:ptCount val="7"/>
                <c:pt idx="0">
                  <c:v>1.2445550715619166E-3</c:v>
                </c:pt>
                <c:pt idx="1">
                  <c:v>0.24517734909769756</c:v>
                </c:pt>
                <c:pt idx="2">
                  <c:v>9.085252022401992E-2</c:v>
                </c:pt>
                <c:pt idx="3">
                  <c:v>8.8363410080896085E-2</c:v>
                </c:pt>
                <c:pt idx="4">
                  <c:v>8.9607965152458002E-2</c:v>
                </c:pt>
                <c:pt idx="5">
                  <c:v>0.22401991288114498</c:v>
                </c:pt>
                <c:pt idx="6">
                  <c:v>0.26073428749222155</c:v>
                </c:pt>
              </c:numCache>
            </c:numRef>
          </c:val>
          <c:smooth val="0"/>
          <c:extLst>
            <c:ext xmlns:c16="http://schemas.microsoft.com/office/drawing/2014/chart" uri="{C3380CC4-5D6E-409C-BE32-E72D297353CC}">
              <c16:uniqueId val="{00000000-AC8D-4E72-A40B-38EFBCFE6BDF}"/>
            </c:ext>
          </c:extLst>
        </c:ser>
        <c:dLbls>
          <c:dLblPos val="t"/>
          <c:showLegendKey val="0"/>
          <c:showVal val="1"/>
          <c:showCatName val="0"/>
          <c:showSerName val="0"/>
          <c:showPercent val="0"/>
          <c:showBubbleSize val="0"/>
        </c:dLbls>
        <c:marker val="1"/>
        <c:smooth val="0"/>
        <c:axId val="922295040"/>
        <c:axId val="922293600"/>
      </c:lineChart>
      <c:catAx>
        <c:axId val="9222950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22293600"/>
        <c:crosses val="autoZero"/>
        <c:auto val="1"/>
        <c:lblAlgn val="ctr"/>
        <c:lblOffset val="100"/>
        <c:noMultiLvlLbl val="0"/>
      </c:catAx>
      <c:valAx>
        <c:axId val="922293600"/>
        <c:scaling>
          <c:orientation val="minMax"/>
        </c:scaling>
        <c:delete val="1"/>
        <c:axPos val="l"/>
        <c:numFmt formatCode="0.00%" sourceLinked="1"/>
        <c:majorTickMark val="out"/>
        <c:minorTickMark val="none"/>
        <c:tickLblPos val="nextTo"/>
        <c:crossAx val="9222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dashboard.xlsx]Sheet6!PivotTable21</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111111111111108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2731334408019993E-1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2731334408019993E-1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dLbl>
          <c:idx val="0"/>
          <c:layout>
            <c:manualLayout>
              <c:x val="-1.111111111111108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Sheet6!$I$58</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43DC-4B44-BE7A-142560D7A9D7}"/>
              </c:ext>
            </c:extLst>
          </c:dPt>
          <c:dPt>
            <c:idx val="1"/>
            <c:invertIfNegative val="0"/>
            <c:bubble3D val="0"/>
            <c:extLst>
              <c:ext xmlns:c16="http://schemas.microsoft.com/office/drawing/2014/chart" uri="{C3380CC4-5D6E-409C-BE32-E72D297353CC}">
                <c16:uniqueId val="{00000002-43DC-4B44-BE7A-142560D7A9D7}"/>
              </c:ext>
            </c:extLst>
          </c:dPt>
          <c:dPt>
            <c:idx val="2"/>
            <c:invertIfNegative val="0"/>
            <c:bubble3D val="0"/>
            <c:extLst>
              <c:ext xmlns:c16="http://schemas.microsoft.com/office/drawing/2014/chart" uri="{C3380CC4-5D6E-409C-BE32-E72D297353CC}">
                <c16:uniqueId val="{00000004-64EB-4AA0-957D-19D217CE979F}"/>
              </c:ext>
            </c:extLst>
          </c:dPt>
          <c:dPt>
            <c:idx val="3"/>
            <c:invertIfNegative val="0"/>
            <c:bubble3D val="0"/>
            <c:extLst>
              <c:ext xmlns:c16="http://schemas.microsoft.com/office/drawing/2014/chart" uri="{C3380CC4-5D6E-409C-BE32-E72D297353CC}">
                <c16:uniqueId val="{00000004-43DC-4B44-BE7A-142560D7A9D7}"/>
              </c:ext>
            </c:extLst>
          </c:dPt>
          <c:dPt>
            <c:idx val="4"/>
            <c:invertIfNegative val="0"/>
            <c:bubble3D val="0"/>
            <c:extLst>
              <c:ext xmlns:c16="http://schemas.microsoft.com/office/drawing/2014/chart" uri="{C3380CC4-5D6E-409C-BE32-E72D297353CC}">
                <c16:uniqueId val="{00000005-43DC-4B44-BE7A-142560D7A9D7}"/>
              </c:ext>
            </c:extLst>
          </c:dPt>
          <c:dPt>
            <c:idx val="5"/>
            <c:invertIfNegative val="0"/>
            <c:bubble3D val="0"/>
            <c:extLst>
              <c:ext xmlns:c16="http://schemas.microsoft.com/office/drawing/2014/chart" uri="{C3380CC4-5D6E-409C-BE32-E72D297353CC}">
                <c16:uniqueId val="{00000006-43DC-4B44-BE7A-142560D7A9D7}"/>
              </c:ext>
            </c:extLst>
          </c:dPt>
          <c:dLbls>
            <c:dLbl>
              <c:idx val="0"/>
              <c:layout>
                <c:manualLayout>
                  <c:x val="-1.2731334408019993E-1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DC-4B44-BE7A-142560D7A9D7}"/>
                </c:ext>
              </c:extLst>
            </c:dLbl>
            <c:dLbl>
              <c:idx val="1"/>
              <c:layout>
                <c:manualLayout>
                  <c:x val="-1.111111111111108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DC-4B44-BE7A-142560D7A9D7}"/>
                </c:ext>
              </c:extLst>
            </c:dLbl>
            <c:dLbl>
              <c:idx val="2"/>
              <c:layout>
                <c:manualLayout>
                  <c:x val="-1.111111111111108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EB-4AA0-957D-19D217CE979F}"/>
                </c:ext>
              </c:extLst>
            </c:dLbl>
            <c:dLbl>
              <c:idx val="3"/>
              <c:layout>
                <c:manualLayout>
                  <c:x val="-1.2731334408019993E-1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DC-4B44-BE7A-142560D7A9D7}"/>
                </c:ext>
              </c:extLst>
            </c:dLbl>
            <c:dLbl>
              <c:idx val="4"/>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DC-4B44-BE7A-142560D7A9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Sheet6!$H$59:$H$65</c:f>
              <c:strCache>
                <c:ptCount val="6"/>
                <c:pt idx="0">
                  <c:v>Keyboard</c:v>
                </c:pt>
                <c:pt idx="1">
                  <c:v>Monitor</c:v>
                </c:pt>
                <c:pt idx="2">
                  <c:v>Mouse</c:v>
                </c:pt>
                <c:pt idx="3">
                  <c:v>Printer</c:v>
                </c:pt>
                <c:pt idx="4">
                  <c:v>Scanner</c:v>
                </c:pt>
                <c:pt idx="5">
                  <c:v>Speaker</c:v>
                </c:pt>
              </c:strCache>
            </c:strRef>
          </c:cat>
          <c:val>
            <c:numRef>
              <c:f>Sheet6!$I$59:$I$65</c:f>
              <c:numCache>
                <c:formatCode>General</c:formatCode>
                <c:ptCount val="6"/>
                <c:pt idx="0">
                  <c:v>24940</c:v>
                </c:pt>
                <c:pt idx="1">
                  <c:v>339000</c:v>
                </c:pt>
                <c:pt idx="2">
                  <c:v>66150</c:v>
                </c:pt>
                <c:pt idx="3">
                  <c:v>934840</c:v>
                </c:pt>
                <c:pt idx="4">
                  <c:v>352200</c:v>
                </c:pt>
                <c:pt idx="5">
                  <c:v>65400</c:v>
                </c:pt>
              </c:numCache>
            </c:numRef>
          </c:val>
          <c:extLst>
            <c:ext xmlns:c16="http://schemas.microsoft.com/office/drawing/2014/chart" uri="{C3380CC4-5D6E-409C-BE32-E72D297353CC}">
              <c16:uniqueId val="{00000000-43DC-4B44-BE7A-142560D7A9D7}"/>
            </c:ext>
          </c:extLst>
        </c:ser>
        <c:dLbls>
          <c:showLegendKey val="0"/>
          <c:showVal val="1"/>
          <c:showCatName val="0"/>
          <c:showSerName val="0"/>
          <c:showPercent val="0"/>
          <c:showBubbleSize val="0"/>
        </c:dLbls>
        <c:gapWidth val="150"/>
        <c:shape val="box"/>
        <c:axId val="920703776"/>
        <c:axId val="920707136"/>
        <c:axId val="0"/>
      </c:bar3DChart>
      <c:catAx>
        <c:axId val="920703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20707136"/>
        <c:crosses val="autoZero"/>
        <c:auto val="1"/>
        <c:lblAlgn val="ctr"/>
        <c:lblOffset val="100"/>
        <c:noMultiLvlLbl val="0"/>
      </c:catAx>
      <c:valAx>
        <c:axId val="920707136"/>
        <c:scaling>
          <c:orientation val="minMax"/>
        </c:scaling>
        <c:delete val="1"/>
        <c:axPos val="l"/>
        <c:numFmt formatCode="General" sourceLinked="1"/>
        <c:majorTickMark val="out"/>
        <c:minorTickMark val="none"/>
        <c:tickLblPos val="nextTo"/>
        <c:crossAx val="92070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dashboard.xlsx]Sheet6!PivotTable24</c:name>
    <c:fmtId val="1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Sheet6!$G$68:$G$71</c:f>
              <c:strCache>
                <c:ptCount val="3"/>
                <c:pt idx="0">
                  <c:v>Monitor</c:v>
                </c:pt>
                <c:pt idx="1">
                  <c:v>Printer</c:v>
                </c:pt>
                <c:pt idx="2">
                  <c:v>Scanner</c:v>
                </c:pt>
              </c:strCache>
            </c:strRef>
          </c:cat>
          <c:val>
            <c:numRef>
              <c:f>Sheet6!$H$68:$H$71</c:f>
              <c:numCache>
                <c:formatCode>General</c:formatCode>
                <c:ptCount val="3"/>
                <c:pt idx="0">
                  <c:v>339000</c:v>
                </c:pt>
                <c:pt idx="1">
                  <c:v>934840</c:v>
                </c:pt>
                <c:pt idx="2">
                  <c:v>352200</c:v>
                </c:pt>
              </c:numCache>
            </c:numRef>
          </c:val>
          <c:smooth val="0"/>
          <c:extLst>
            <c:ext xmlns:c16="http://schemas.microsoft.com/office/drawing/2014/chart" uri="{C3380CC4-5D6E-409C-BE32-E72D297353CC}">
              <c16:uniqueId val="{00000000-2B80-481B-A7A4-3DD0D2ED3DA7}"/>
            </c:ext>
          </c:extLst>
        </c:ser>
        <c:dLbls>
          <c:dLblPos val="t"/>
          <c:showLegendKey val="0"/>
          <c:showVal val="1"/>
          <c:showCatName val="0"/>
          <c:showSerName val="0"/>
          <c:showPercent val="0"/>
          <c:showBubbleSize val="0"/>
        </c:dLbls>
        <c:marker val="1"/>
        <c:smooth val="0"/>
        <c:axId val="1351134400"/>
        <c:axId val="1351135840"/>
      </c:lineChart>
      <c:catAx>
        <c:axId val="13511344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51135840"/>
        <c:crosses val="autoZero"/>
        <c:auto val="1"/>
        <c:lblAlgn val="ctr"/>
        <c:lblOffset val="100"/>
        <c:noMultiLvlLbl val="0"/>
      </c:catAx>
      <c:valAx>
        <c:axId val="1351135840"/>
        <c:scaling>
          <c:orientation val="minMax"/>
        </c:scaling>
        <c:delete val="1"/>
        <c:axPos val="l"/>
        <c:numFmt formatCode="General" sourceLinked="1"/>
        <c:majorTickMark val="none"/>
        <c:minorTickMark val="none"/>
        <c:tickLblPos val="nextTo"/>
        <c:crossAx val="135113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dashboard.xlsx]Sheet6!PivotTable1</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Keyboard</c:v>
                </c:pt>
                <c:pt idx="1">
                  <c:v>Monitor</c:v>
                </c:pt>
                <c:pt idx="2">
                  <c:v>Mouse</c:v>
                </c:pt>
                <c:pt idx="3">
                  <c:v>Printer</c:v>
                </c:pt>
                <c:pt idx="4">
                  <c:v>Scanner</c:v>
                </c:pt>
                <c:pt idx="5">
                  <c:v>Speaker</c:v>
                </c:pt>
              </c:strCache>
            </c:strRef>
          </c:cat>
          <c:val>
            <c:numRef>
              <c:f>Sheet6!$B$4:$B$10</c:f>
              <c:numCache>
                <c:formatCode>0.00%</c:formatCode>
                <c:ptCount val="6"/>
                <c:pt idx="0">
                  <c:v>1.3991349374204081E-2</c:v>
                </c:pt>
                <c:pt idx="1">
                  <c:v>0.19017912742001536</c:v>
                </c:pt>
                <c:pt idx="2">
                  <c:v>3.7110174863817159E-2</c:v>
                </c:pt>
                <c:pt idx="3">
                  <c:v>0.52444559137854618</c:v>
                </c:pt>
                <c:pt idx="4">
                  <c:v>0.19758433238150269</c:v>
                </c:pt>
                <c:pt idx="5">
                  <c:v>3.6689424581914473E-2</c:v>
                </c:pt>
              </c:numCache>
            </c:numRef>
          </c:val>
          <c:extLst>
            <c:ext xmlns:c16="http://schemas.microsoft.com/office/drawing/2014/chart" uri="{C3380CC4-5D6E-409C-BE32-E72D297353CC}">
              <c16:uniqueId val="{00000000-A1E5-4993-8596-E24152C7082A}"/>
            </c:ext>
          </c:extLst>
        </c:ser>
        <c:dLbls>
          <c:showLegendKey val="0"/>
          <c:showVal val="1"/>
          <c:showCatName val="0"/>
          <c:showSerName val="0"/>
          <c:showPercent val="0"/>
          <c:showBubbleSize val="0"/>
        </c:dLbls>
        <c:gapWidth val="150"/>
        <c:shape val="box"/>
        <c:axId val="1348359984"/>
        <c:axId val="1348360464"/>
        <c:axId val="0"/>
      </c:bar3DChart>
      <c:catAx>
        <c:axId val="134835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48360464"/>
        <c:crosses val="autoZero"/>
        <c:auto val="1"/>
        <c:lblAlgn val="ctr"/>
        <c:lblOffset val="100"/>
        <c:noMultiLvlLbl val="0"/>
      </c:catAx>
      <c:valAx>
        <c:axId val="1348360464"/>
        <c:scaling>
          <c:orientation val="minMax"/>
        </c:scaling>
        <c:delete val="1"/>
        <c:axPos val="b"/>
        <c:numFmt formatCode="0.00%" sourceLinked="1"/>
        <c:majorTickMark val="out"/>
        <c:minorTickMark val="none"/>
        <c:tickLblPos val="nextTo"/>
        <c:crossAx val="134835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388888888888888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8.3333333333333332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7777777777778798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88888888888888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3333333333333332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7777777777778798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388888888888888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8.3333333333333332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2.7777777777778798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Sheet6!$E$3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7C76-4680-BB25-8BF436821714}"/>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7C76-4680-BB25-8BF436821714}"/>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7C76-4680-BB25-8BF436821714}"/>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7C76-4680-BB25-8BF436821714}"/>
              </c:ext>
            </c:extLst>
          </c:dPt>
          <c:dLbls>
            <c:dLbl>
              <c:idx val="0"/>
              <c:layout>
                <c:manualLayout>
                  <c:x val="-1.388888888888888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76-4680-BB25-8BF436821714}"/>
                </c:ext>
              </c:extLst>
            </c:dLbl>
            <c:dLbl>
              <c:idx val="1"/>
              <c:layout>
                <c:manualLayout>
                  <c:x val="-8.3333333333333332E-3"/>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76-4680-BB25-8BF436821714}"/>
                </c:ext>
              </c:extLst>
            </c:dLbl>
            <c:dLbl>
              <c:idx val="2"/>
              <c:layout>
                <c:manualLayout>
                  <c:x val="-8.3333333333333332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76-4680-BB25-8BF436821714}"/>
                </c:ext>
              </c:extLst>
            </c:dLbl>
            <c:dLbl>
              <c:idx val="3"/>
              <c:layout>
                <c:manualLayout>
                  <c:x val="-2.7777777777778798E-3"/>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76-4680-BB25-8BF43682171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Sheet6!$D$4:$D$8</c:f>
              <c:strCache>
                <c:ptCount val="4"/>
                <c:pt idx="0">
                  <c:v>East</c:v>
                </c:pt>
                <c:pt idx="1">
                  <c:v>North</c:v>
                </c:pt>
                <c:pt idx="2">
                  <c:v>South</c:v>
                </c:pt>
                <c:pt idx="3">
                  <c:v>West</c:v>
                </c:pt>
              </c:strCache>
            </c:strRef>
          </c:cat>
          <c:val>
            <c:numRef>
              <c:f>Sheet6!$E$4:$E$8</c:f>
              <c:numCache>
                <c:formatCode>0</c:formatCode>
                <c:ptCount val="4"/>
                <c:pt idx="0">
                  <c:v>143890</c:v>
                </c:pt>
                <c:pt idx="1">
                  <c:v>35820</c:v>
                </c:pt>
                <c:pt idx="2">
                  <c:v>64070</c:v>
                </c:pt>
                <c:pt idx="3">
                  <c:v>91740</c:v>
                </c:pt>
              </c:numCache>
            </c:numRef>
          </c:val>
          <c:extLst>
            <c:ext xmlns:c16="http://schemas.microsoft.com/office/drawing/2014/chart" uri="{C3380CC4-5D6E-409C-BE32-E72D297353CC}">
              <c16:uniqueId val="{00000004-7C76-4680-BB25-8BF436821714}"/>
            </c:ext>
          </c:extLst>
        </c:ser>
        <c:dLbls>
          <c:showLegendKey val="0"/>
          <c:showVal val="1"/>
          <c:showCatName val="0"/>
          <c:showSerName val="0"/>
          <c:showPercent val="0"/>
          <c:showBubbleSize val="0"/>
        </c:dLbls>
        <c:gapWidth val="150"/>
        <c:shape val="box"/>
        <c:axId val="922340640"/>
        <c:axId val="922341120"/>
        <c:axId val="0"/>
      </c:bar3DChart>
      <c:catAx>
        <c:axId val="922340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22341120"/>
        <c:crosses val="autoZero"/>
        <c:auto val="1"/>
        <c:lblAlgn val="ctr"/>
        <c:lblOffset val="100"/>
        <c:noMultiLvlLbl val="0"/>
      </c:catAx>
      <c:valAx>
        <c:axId val="922341120"/>
        <c:scaling>
          <c:orientation val="minMax"/>
        </c:scaling>
        <c:delete val="1"/>
        <c:axPos val="l"/>
        <c:numFmt formatCode="0" sourceLinked="1"/>
        <c:majorTickMark val="out"/>
        <c:minorTickMark val="none"/>
        <c:tickLblPos val="nextTo"/>
        <c:crossAx val="9223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dashboard.xlsx]Sheet6!PivotTable3</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Sheet6!$G$4:$G$11</c:f>
              <c:strCache>
                <c:ptCount val="7"/>
                <c:pt idx="0">
                  <c:v>Avnish bhatt</c:v>
                </c:pt>
                <c:pt idx="1">
                  <c:v>Ajit Kumar</c:v>
                </c:pt>
                <c:pt idx="2">
                  <c:v>Amit</c:v>
                </c:pt>
                <c:pt idx="3">
                  <c:v>Chandu</c:v>
                </c:pt>
                <c:pt idx="4">
                  <c:v>Ramesh</c:v>
                </c:pt>
                <c:pt idx="5">
                  <c:v>Rohit Das</c:v>
                </c:pt>
                <c:pt idx="6">
                  <c:v>Siddhu</c:v>
                </c:pt>
              </c:strCache>
            </c:strRef>
          </c:cat>
          <c:val>
            <c:numRef>
              <c:f>Sheet6!$H$4:$H$11</c:f>
              <c:numCache>
                <c:formatCode>0.000</c:formatCode>
                <c:ptCount val="7"/>
                <c:pt idx="0">
                  <c:v>2</c:v>
                </c:pt>
                <c:pt idx="1">
                  <c:v>394</c:v>
                </c:pt>
                <c:pt idx="2">
                  <c:v>146</c:v>
                </c:pt>
                <c:pt idx="3">
                  <c:v>142</c:v>
                </c:pt>
                <c:pt idx="4">
                  <c:v>144</c:v>
                </c:pt>
                <c:pt idx="5">
                  <c:v>360</c:v>
                </c:pt>
                <c:pt idx="6">
                  <c:v>419</c:v>
                </c:pt>
              </c:numCache>
            </c:numRef>
          </c:val>
          <c:smooth val="0"/>
          <c:extLst>
            <c:ext xmlns:c16="http://schemas.microsoft.com/office/drawing/2014/chart" uri="{C3380CC4-5D6E-409C-BE32-E72D297353CC}">
              <c16:uniqueId val="{00000000-4070-40EE-8974-C9B4A0B419CC}"/>
            </c:ext>
          </c:extLst>
        </c:ser>
        <c:dLbls>
          <c:showLegendKey val="0"/>
          <c:showVal val="0"/>
          <c:showCatName val="0"/>
          <c:showSerName val="0"/>
          <c:showPercent val="0"/>
          <c:showBubbleSize val="0"/>
        </c:dLbls>
        <c:marker val="1"/>
        <c:smooth val="0"/>
        <c:axId val="1348384944"/>
        <c:axId val="1348385424"/>
      </c:lineChart>
      <c:catAx>
        <c:axId val="13483849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48385424"/>
        <c:crosses val="autoZero"/>
        <c:auto val="1"/>
        <c:lblAlgn val="ctr"/>
        <c:lblOffset val="100"/>
        <c:noMultiLvlLbl val="0"/>
      </c:catAx>
      <c:valAx>
        <c:axId val="1348385424"/>
        <c:scaling>
          <c:orientation val="minMax"/>
        </c:scaling>
        <c:delete val="1"/>
        <c:axPos val="l"/>
        <c:numFmt formatCode="0.000" sourceLinked="1"/>
        <c:majorTickMark val="none"/>
        <c:minorTickMark val="none"/>
        <c:tickLblPos val="nextTo"/>
        <c:crossAx val="134838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25351917234059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22818738820775"/>
          <c:y val="0.18724859831623702"/>
          <c:w val="0.79577181261179231"/>
          <c:h val="0.81275140168376303"/>
        </c:manualLayout>
      </c:layout>
      <c:barChart>
        <c:barDir val="bar"/>
        <c:grouping val="clustered"/>
        <c:varyColors val="0"/>
        <c:ser>
          <c:idx val="0"/>
          <c:order val="0"/>
          <c:tx>
            <c:strRef>
              <c:f>Sheet6!$O$3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E47D-4983-BCDF-827F8525CC25}"/>
              </c:ext>
            </c:extLst>
          </c:dPt>
          <c:dLbls>
            <c:dLbl>
              <c:idx val="0"/>
              <c:layout>
                <c:manualLayout>
                  <c:x val="0"/>
                  <c:y val="-0.125351917234059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7D-4983-BCDF-827F8525CC2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Sheet6!$N$4:$N$8</c:f>
              <c:strCache>
                <c:ptCount val="4"/>
                <c:pt idx="0">
                  <c:v>East</c:v>
                </c:pt>
                <c:pt idx="1">
                  <c:v>North</c:v>
                </c:pt>
                <c:pt idx="2">
                  <c:v>South</c:v>
                </c:pt>
                <c:pt idx="3">
                  <c:v>West</c:v>
                </c:pt>
              </c:strCache>
            </c:strRef>
          </c:cat>
          <c:val>
            <c:numRef>
              <c:f>Sheet6!$O$4:$O$8</c:f>
              <c:numCache>
                <c:formatCode>0.0</c:formatCode>
                <c:ptCount val="4"/>
                <c:pt idx="0">
                  <c:v>735</c:v>
                </c:pt>
                <c:pt idx="1">
                  <c:v>189</c:v>
                </c:pt>
                <c:pt idx="2">
                  <c:v>272</c:v>
                </c:pt>
                <c:pt idx="3">
                  <c:v>411</c:v>
                </c:pt>
              </c:numCache>
            </c:numRef>
          </c:val>
          <c:extLst>
            <c:ext xmlns:c16="http://schemas.microsoft.com/office/drawing/2014/chart" uri="{C3380CC4-5D6E-409C-BE32-E72D297353CC}">
              <c16:uniqueId val="{00000000-B9CD-40E2-B16A-623FD24EC976}"/>
            </c:ext>
          </c:extLst>
        </c:ser>
        <c:dLbls>
          <c:dLblPos val="outEnd"/>
          <c:showLegendKey val="0"/>
          <c:showVal val="1"/>
          <c:showCatName val="0"/>
          <c:showSerName val="0"/>
          <c:showPercent val="0"/>
          <c:showBubbleSize val="0"/>
        </c:dLbls>
        <c:gapWidth val="182"/>
        <c:axId val="1348336944"/>
        <c:axId val="1348337904"/>
      </c:barChart>
      <c:catAx>
        <c:axId val="1348336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48337904"/>
        <c:crosses val="autoZero"/>
        <c:auto val="1"/>
        <c:lblAlgn val="ctr"/>
        <c:lblOffset val="100"/>
        <c:noMultiLvlLbl val="0"/>
      </c:catAx>
      <c:valAx>
        <c:axId val="1348337904"/>
        <c:scaling>
          <c:orientation val="minMax"/>
        </c:scaling>
        <c:delete val="1"/>
        <c:axPos val="b"/>
        <c:numFmt formatCode="0.0" sourceLinked="1"/>
        <c:majorTickMark val="none"/>
        <c:minorTickMark val="none"/>
        <c:tickLblPos val="nextTo"/>
        <c:crossAx val="13483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dashboard.xlsx]Sheet6!PivotTable4</c:name>
    <c:fmtId val="7"/>
  </c:pivotSource>
  <c:chart>
    <c:autoTitleDeleted val="1"/>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Sheet6!$K$3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E82-4B6D-9389-74B87F2AEE5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E82-4B6D-9389-74B87F2AEE5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E82-4B6D-9389-74B87F2AEE5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E82-4B6D-9389-74B87F2AEE5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E82-4B6D-9389-74B87F2AEE5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E82-4B6D-9389-74B87F2AEE5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Sheet6!$J$4:$J$10</c:f>
              <c:strCache>
                <c:ptCount val="6"/>
                <c:pt idx="0">
                  <c:v>Keyboard</c:v>
                </c:pt>
                <c:pt idx="1">
                  <c:v>Monitor</c:v>
                </c:pt>
                <c:pt idx="2">
                  <c:v>Mouse</c:v>
                </c:pt>
                <c:pt idx="3">
                  <c:v>Printer</c:v>
                </c:pt>
                <c:pt idx="4">
                  <c:v>Scanner</c:v>
                </c:pt>
                <c:pt idx="5">
                  <c:v>Speaker</c:v>
                </c:pt>
              </c:strCache>
            </c:strRef>
          </c:cat>
          <c:val>
            <c:numRef>
              <c:f>Sheet6!$K$4:$K$10</c:f>
              <c:numCache>
                <c:formatCode>0.000</c:formatCode>
                <c:ptCount val="6"/>
                <c:pt idx="0">
                  <c:v>130</c:v>
                </c:pt>
                <c:pt idx="1">
                  <c:v>251</c:v>
                </c:pt>
                <c:pt idx="2">
                  <c:v>319</c:v>
                </c:pt>
                <c:pt idx="3">
                  <c:v>447</c:v>
                </c:pt>
                <c:pt idx="4">
                  <c:v>242</c:v>
                </c:pt>
                <c:pt idx="5">
                  <c:v>218</c:v>
                </c:pt>
              </c:numCache>
            </c:numRef>
          </c:val>
          <c:extLst>
            <c:ext xmlns:c16="http://schemas.microsoft.com/office/drawing/2014/chart" uri="{C3380CC4-5D6E-409C-BE32-E72D297353CC}">
              <c16:uniqueId val="{0000000C-CE82-4B6D-9389-74B87F2AEE5F}"/>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dashboard.xlsx]Sheet6!PivotTable18</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Sheet6!$E$43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Sheet6!$D$44:$D$51</c:f>
              <c:strCache>
                <c:ptCount val="7"/>
                <c:pt idx="0">
                  <c:v>Avnish bhatt</c:v>
                </c:pt>
                <c:pt idx="1">
                  <c:v>Ajit Kumar</c:v>
                </c:pt>
                <c:pt idx="2">
                  <c:v>Amit</c:v>
                </c:pt>
                <c:pt idx="3">
                  <c:v>Chandu</c:v>
                </c:pt>
                <c:pt idx="4">
                  <c:v>Ramesh</c:v>
                </c:pt>
                <c:pt idx="5">
                  <c:v>Rohit Das</c:v>
                </c:pt>
                <c:pt idx="6">
                  <c:v>Siddhu</c:v>
                </c:pt>
              </c:strCache>
            </c:strRef>
          </c:cat>
          <c:val>
            <c:numRef>
              <c:f>Sheet6!$E$44:$E$51</c:f>
              <c:numCache>
                <c:formatCode>0.00%</c:formatCode>
                <c:ptCount val="7"/>
                <c:pt idx="0">
                  <c:v>1.2445550715619166E-3</c:v>
                </c:pt>
                <c:pt idx="1">
                  <c:v>0.24517734909769756</c:v>
                </c:pt>
                <c:pt idx="2">
                  <c:v>9.085252022401992E-2</c:v>
                </c:pt>
                <c:pt idx="3">
                  <c:v>8.8363410080896085E-2</c:v>
                </c:pt>
                <c:pt idx="4">
                  <c:v>8.9607965152458002E-2</c:v>
                </c:pt>
                <c:pt idx="5">
                  <c:v>0.22401991288114498</c:v>
                </c:pt>
                <c:pt idx="6">
                  <c:v>0.26073428749222155</c:v>
                </c:pt>
              </c:numCache>
            </c:numRef>
          </c:val>
          <c:extLst>
            <c:ext xmlns:c16="http://schemas.microsoft.com/office/drawing/2014/chart" uri="{C3380CC4-5D6E-409C-BE32-E72D297353CC}">
              <c16:uniqueId val="{00000000-CA1F-403F-B9DD-E99056082800}"/>
            </c:ext>
          </c:extLst>
        </c:ser>
        <c:dLbls>
          <c:showLegendKey val="0"/>
          <c:showVal val="1"/>
          <c:showCatName val="0"/>
          <c:showSerName val="0"/>
          <c:showPercent val="0"/>
          <c:showBubbleSize val="0"/>
        </c:dLbls>
        <c:gapWidth val="150"/>
        <c:shape val="box"/>
        <c:axId val="1349609376"/>
        <c:axId val="1349607456"/>
        <c:axId val="0"/>
      </c:bar3DChart>
      <c:catAx>
        <c:axId val="1349609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49607456"/>
        <c:crosses val="autoZero"/>
        <c:auto val="1"/>
        <c:lblAlgn val="ctr"/>
        <c:lblOffset val="100"/>
        <c:noMultiLvlLbl val="0"/>
      </c:catAx>
      <c:valAx>
        <c:axId val="1349607456"/>
        <c:scaling>
          <c:orientation val="minMax"/>
        </c:scaling>
        <c:delete val="1"/>
        <c:axPos val="b"/>
        <c:numFmt formatCode="0.00%" sourceLinked="1"/>
        <c:majorTickMark val="out"/>
        <c:minorTickMark val="none"/>
        <c:tickLblPos val="nextTo"/>
        <c:crossAx val="13496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dashboard.xlsx]Sheet6!PivotTable19</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66E-2"/>
              <c:y val="-3.703703703703704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041776027996497E-2"/>
                  <c:h val="5.2962962962962962E-2"/>
                </c:manualLayout>
              </c15:layout>
            </c:ext>
          </c:extLst>
        </c:dLbl>
      </c:pivotFmt>
      <c:pivotFmt>
        <c:idx val="4"/>
        <c:spPr>
          <a:solidFill>
            <a:schemeClr val="accent1"/>
          </a:solidFill>
          <a:ln>
            <a:noFill/>
          </a:ln>
          <a:effectLst/>
          <a:sp3d/>
        </c:spPr>
        <c:dLbl>
          <c:idx val="0"/>
          <c:layout>
            <c:manualLayout>
              <c:x val="-1.6666666666666691E-2"/>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6666666666666691E-2"/>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6666666666666666E-2"/>
              <c:y val="-3.703703703703704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041776027996497E-2"/>
                  <c:h val="5.2962962962962962E-2"/>
                </c:manualLayout>
              </c15:layout>
            </c:ext>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Sheet6!$H$43</c:f>
              <c:strCache>
                <c:ptCount val="1"/>
                <c:pt idx="0">
                  <c:v>Total</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1-1D25-4CC1-BAE6-F71600C4302B}"/>
              </c:ext>
            </c:extLst>
          </c:dPt>
          <c:dPt>
            <c:idx val="2"/>
            <c:invertIfNegative val="0"/>
            <c:bubble3D val="0"/>
            <c:extLst>
              <c:ext xmlns:c16="http://schemas.microsoft.com/office/drawing/2014/chart" uri="{C3380CC4-5D6E-409C-BE32-E72D297353CC}">
                <c16:uniqueId val="{00000002-1D25-4CC1-BAE6-F71600C4302B}"/>
              </c:ext>
            </c:extLst>
          </c:dPt>
          <c:dPt>
            <c:idx val="3"/>
            <c:invertIfNegative val="0"/>
            <c:bubble3D val="0"/>
            <c:extLst>
              <c:ext xmlns:c16="http://schemas.microsoft.com/office/drawing/2014/chart" uri="{C3380CC4-5D6E-409C-BE32-E72D297353CC}">
                <c16:uniqueId val="{00000004-5A13-4961-B68A-D12A34911DDB}"/>
              </c:ext>
            </c:extLst>
          </c:dPt>
          <c:dPt>
            <c:idx val="4"/>
            <c:invertIfNegative val="0"/>
            <c:bubble3D val="0"/>
            <c:extLst>
              <c:ext xmlns:c16="http://schemas.microsoft.com/office/drawing/2014/chart" uri="{C3380CC4-5D6E-409C-BE32-E72D297353CC}">
                <c16:uniqueId val="{00000005-4D41-4E58-8C55-2130D5D9A9AD}"/>
              </c:ext>
            </c:extLst>
          </c:dPt>
          <c:dPt>
            <c:idx val="5"/>
            <c:invertIfNegative val="0"/>
            <c:bubble3D val="0"/>
            <c:extLst>
              <c:ext xmlns:c16="http://schemas.microsoft.com/office/drawing/2014/chart" uri="{C3380CC4-5D6E-409C-BE32-E72D297353CC}">
                <c16:uniqueId val="{00000005-D50A-4604-B7AA-C3873DCE6F5B}"/>
              </c:ext>
            </c:extLst>
          </c:dPt>
          <c:dPt>
            <c:idx val="6"/>
            <c:invertIfNegative val="0"/>
            <c:bubble3D val="0"/>
            <c:extLst>
              <c:ext xmlns:c16="http://schemas.microsoft.com/office/drawing/2014/chart" uri="{C3380CC4-5D6E-409C-BE32-E72D297353CC}">
                <c16:uniqueId val="{00000007-D50A-4604-B7AA-C3873DCE6F5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Sheet6!$G$44:$G$51</c:f>
              <c:strCache>
                <c:ptCount val="7"/>
                <c:pt idx="0">
                  <c:v>Avnish bhatt</c:v>
                </c:pt>
                <c:pt idx="1">
                  <c:v>Ajit Kumar</c:v>
                </c:pt>
                <c:pt idx="2">
                  <c:v>Amit</c:v>
                </c:pt>
                <c:pt idx="3">
                  <c:v>Chandu</c:v>
                </c:pt>
                <c:pt idx="4">
                  <c:v>Ramesh</c:v>
                </c:pt>
                <c:pt idx="5">
                  <c:v>Rohit Das</c:v>
                </c:pt>
                <c:pt idx="6">
                  <c:v>Siddhu</c:v>
                </c:pt>
              </c:strCache>
            </c:strRef>
          </c:cat>
          <c:val>
            <c:numRef>
              <c:f>Sheet6!$H$44:$H$51</c:f>
              <c:numCache>
                <c:formatCode>0.00%</c:formatCode>
                <c:ptCount val="7"/>
                <c:pt idx="0">
                  <c:v>1.2445550715619166E-3</c:v>
                </c:pt>
                <c:pt idx="1">
                  <c:v>0.24517734909769756</c:v>
                </c:pt>
                <c:pt idx="2">
                  <c:v>9.085252022401992E-2</c:v>
                </c:pt>
                <c:pt idx="3">
                  <c:v>8.8363410080896085E-2</c:v>
                </c:pt>
                <c:pt idx="4">
                  <c:v>8.9607965152458002E-2</c:v>
                </c:pt>
                <c:pt idx="5">
                  <c:v>0.22401991288114498</c:v>
                </c:pt>
                <c:pt idx="6">
                  <c:v>0.26073428749222155</c:v>
                </c:pt>
              </c:numCache>
            </c:numRef>
          </c:val>
          <c:extLst>
            <c:ext xmlns:c16="http://schemas.microsoft.com/office/drawing/2014/chart" uri="{C3380CC4-5D6E-409C-BE32-E72D297353CC}">
              <c16:uniqueId val="{00000004-1D25-4CC1-BAE6-F71600C4302B}"/>
            </c:ext>
          </c:extLst>
        </c:ser>
        <c:dLbls>
          <c:showLegendKey val="0"/>
          <c:showVal val="1"/>
          <c:showCatName val="0"/>
          <c:showSerName val="0"/>
          <c:showPercent val="0"/>
          <c:showBubbleSize val="0"/>
        </c:dLbls>
        <c:gapWidth val="150"/>
        <c:shape val="box"/>
        <c:axId val="1771126480"/>
        <c:axId val="1771119760"/>
        <c:axId val="0"/>
      </c:bar3DChart>
      <c:catAx>
        <c:axId val="1771126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71119760"/>
        <c:crosses val="autoZero"/>
        <c:auto val="1"/>
        <c:lblAlgn val="ctr"/>
        <c:lblOffset val="100"/>
        <c:noMultiLvlLbl val="0"/>
      </c:catAx>
      <c:valAx>
        <c:axId val="1771119760"/>
        <c:scaling>
          <c:orientation val="minMax"/>
        </c:scaling>
        <c:delete val="1"/>
        <c:axPos val="l"/>
        <c:numFmt formatCode="0.00%" sourceLinked="1"/>
        <c:majorTickMark val="out"/>
        <c:minorTickMark val="none"/>
        <c:tickLblPos val="nextTo"/>
        <c:crossAx val="177112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dashboard.xlsx]Sheet6!PivotTable20</c:name>
    <c:fmtId val="2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Sheet6!$K$43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Sheet6!$J$44:$J$51</c:f>
              <c:strCache>
                <c:ptCount val="7"/>
                <c:pt idx="0">
                  <c:v>Avnish bhatt</c:v>
                </c:pt>
                <c:pt idx="1">
                  <c:v>Ajit Kumar</c:v>
                </c:pt>
                <c:pt idx="2">
                  <c:v>Amit</c:v>
                </c:pt>
                <c:pt idx="3">
                  <c:v>Chandu</c:v>
                </c:pt>
                <c:pt idx="4">
                  <c:v>Ramesh</c:v>
                </c:pt>
                <c:pt idx="5">
                  <c:v>Rohit Das</c:v>
                </c:pt>
                <c:pt idx="6">
                  <c:v>Siddhu</c:v>
                </c:pt>
              </c:strCache>
            </c:strRef>
          </c:cat>
          <c:val>
            <c:numRef>
              <c:f>Sheet6!$K$44:$K$51</c:f>
              <c:numCache>
                <c:formatCode>0.00%</c:formatCode>
                <c:ptCount val="7"/>
                <c:pt idx="0">
                  <c:v>1.2445550715619166E-3</c:v>
                </c:pt>
                <c:pt idx="1">
                  <c:v>0.24517734909769756</c:v>
                </c:pt>
                <c:pt idx="2">
                  <c:v>9.085252022401992E-2</c:v>
                </c:pt>
                <c:pt idx="3">
                  <c:v>8.8363410080896085E-2</c:v>
                </c:pt>
                <c:pt idx="4">
                  <c:v>8.9607965152458002E-2</c:v>
                </c:pt>
                <c:pt idx="5">
                  <c:v>0.22401991288114498</c:v>
                </c:pt>
                <c:pt idx="6">
                  <c:v>0.26073428749222155</c:v>
                </c:pt>
              </c:numCache>
            </c:numRef>
          </c:val>
          <c:smooth val="0"/>
          <c:extLst>
            <c:ext xmlns:c16="http://schemas.microsoft.com/office/drawing/2014/chart" uri="{C3380CC4-5D6E-409C-BE32-E72D297353CC}">
              <c16:uniqueId val="{00000000-B406-493E-A9CA-8AFBDC434B90}"/>
            </c:ext>
          </c:extLst>
        </c:ser>
        <c:dLbls>
          <c:dLblPos val="t"/>
          <c:showLegendKey val="0"/>
          <c:showVal val="1"/>
          <c:showCatName val="0"/>
          <c:showSerName val="0"/>
          <c:showPercent val="0"/>
          <c:showBubbleSize val="0"/>
        </c:dLbls>
        <c:marker val="1"/>
        <c:smooth val="0"/>
        <c:axId val="922295040"/>
        <c:axId val="922293600"/>
      </c:lineChart>
      <c:catAx>
        <c:axId val="9222950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22293600"/>
        <c:crosses val="autoZero"/>
        <c:auto val="1"/>
        <c:lblAlgn val="ctr"/>
        <c:lblOffset val="100"/>
        <c:noMultiLvlLbl val="0"/>
      </c:catAx>
      <c:valAx>
        <c:axId val="922293600"/>
        <c:scaling>
          <c:orientation val="minMax"/>
        </c:scaling>
        <c:delete val="1"/>
        <c:axPos val="l"/>
        <c:numFmt formatCode="0.00%" sourceLinked="1"/>
        <c:majorTickMark val="out"/>
        <c:minorTickMark val="none"/>
        <c:tickLblPos val="nextTo"/>
        <c:crossAx val="9222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dashboard.xlsx]Sheet6!PivotTable21</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111111111111108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2731334408019993E-1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4.166666666666667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2731334408019993E-1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111111111111108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4.166666666666667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2731334408019993E-1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111111111111108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1.2731334408019993E-1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pivotFmt>
      <c:pivotFmt>
        <c:idx val="18"/>
        <c:spPr>
          <a:solidFill>
            <a:schemeClr val="accent1"/>
          </a:solidFill>
          <a:ln>
            <a:noFill/>
          </a:ln>
          <a:effectLst/>
          <a:sp3d/>
        </c:spPr>
        <c:dLbl>
          <c:idx val="0"/>
          <c:layout>
            <c:manualLayout>
              <c:x val="-1.111111111111108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Sheet6!$I$58</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911A-4FA9-836E-F8C1360916CC}"/>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911A-4FA9-836E-F8C1360916CC}"/>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0648-4D35-A482-43B2C703B8B6}"/>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2-911A-4FA9-836E-F8C1360916CC}"/>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911A-4FA9-836E-F8C1360916CC}"/>
              </c:ext>
            </c:extLst>
          </c:dPt>
          <c:dPt>
            <c:idx val="5"/>
            <c:invertIfNegative val="0"/>
            <c:bubble3D val="0"/>
            <c:extLst>
              <c:ext xmlns:c16="http://schemas.microsoft.com/office/drawing/2014/chart" uri="{C3380CC4-5D6E-409C-BE32-E72D297353CC}">
                <c16:uniqueId val="{00000004-911A-4FA9-836E-F8C1360916CC}"/>
              </c:ext>
            </c:extLst>
          </c:dPt>
          <c:dLbls>
            <c:dLbl>
              <c:idx val="0"/>
              <c:layout>
                <c:manualLayout>
                  <c:x val="-1.2731334408019993E-1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1A-4FA9-836E-F8C1360916CC}"/>
                </c:ext>
              </c:extLst>
            </c:dLbl>
            <c:dLbl>
              <c:idx val="1"/>
              <c:layout>
                <c:manualLayout>
                  <c:x val="-1.111111111111108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1A-4FA9-836E-F8C1360916CC}"/>
                </c:ext>
              </c:extLst>
            </c:dLbl>
            <c:dLbl>
              <c:idx val="2"/>
              <c:layout>
                <c:manualLayout>
                  <c:x val="-1.111111111111108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48-4D35-A482-43B2C703B8B6}"/>
                </c:ext>
              </c:extLst>
            </c:dLbl>
            <c:dLbl>
              <c:idx val="3"/>
              <c:layout>
                <c:manualLayout>
                  <c:x val="-1.2731334408019993E-1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1A-4FA9-836E-F8C1360916CC}"/>
                </c:ext>
              </c:extLst>
            </c:dLbl>
            <c:dLbl>
              <c:idx val="4"/>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1A-4FA9-836E-F8C1360916C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Sheet6!$H$59:$H$65</c:f>
              <c:strCache>
                <c:ptCount val="6"/>
                <c:pt idx="0">
                  <c:v>Keyboard</c:v>
                </c:pt>
                <c:pt idx="1">
                  <c:v>Monitor</c:v>
                </c:pt>
                <c:pt idx="2">
                  <c:v>Mouse</c:v>
                </c:pt>
                <c:pt idx="3">
                  <c:v>Printer</c:v>
                </c:pt>
                <c:pt idx="4">
                  <c:v>Scanner</c:v>
                </c:pt>
                <c:pt idx="5">
                  <c:v>Speaker</c:v>
                </c:pt>
              </c:strCache>
            </c:strRef>
          </c:cat>
          <c:val>
            <c:numRef>
              <c:f>Sheet6!$I$59:$I$65</c:f>
              <c:numCache>
                <c:formatCode>General</c:formatCode>
                <c:ptCount val="6"/>
                <c:pt idx="0">
                  <c:v>24940</c:v>
                </c:pt>
                <c:pt idx="1">
                  <c:v>339000</c:v>
                </c:pt>
                <c:pt idx="2">
                  <c:v>66150</c:v>
                </c:pt>
                <c:pt idx="3">
                  <c:v>934840</c:v>
                </c:pt>
                <c:pt idx="4">
                  <c:v>352200</c:v>
                </c:pt>
                <c:pt idx="5">
                  <c:v>65400</c:v>
                </c:pt>
              </c:numCache>
            </c:numRef>
          </c:val>
          <c:extLst>
            <c:ext xmlns:c16="http://schemas.microsoft.com/office/drawing/2014/chart" uri="{C3380CC4-5D6E-409C-BE32-E72D297353CC}">
              <c16:uniqueId val="{00000005-911A-4FA9-836E-F8C1360916CC}"/>
            </c:ext>
          </c:extLst>
        </c:ser>
        <c:dLbls>
          <c:showLegendKey val="0"/>
          <c:showVal val="1"/>
          <c:showCatName val="0"/>
          <c:showSerName val="0"/>
          <c:showPercent val="0"/>
          <c:showBubbleSize val="0"/>
        </c:dLbls>
        <c:gapWidth val="150"/>
        <c:shape val="box"/>
        <c:axId val="920703776"/>
        <c:axId val="920707136"/>
        <c:axId val="0"/>
      </c:bar3DChart>
      <c:catAx>
        <c:axId val="920703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0707136"/>
        <c:crosses val="autoZero"/>
        <c:auto val="1"/>
        <c:lblAlgn val="ctr"/>
        <c:lblOffset val="100"/>
        <c:noMultiLvlLbl val="0"/>
      </c:catAx>
      <c:valAx>
        <c:axId val="920707136"/>
        <c:scaling>
          <c:orientation val="minMax"/>
        </c:scaling>
        <c:delete val="1"/>
        <c:axPos val="l"/>
        <c:numFmt formatCode="General" sourceLinked="1"/>
        <c:majorTickMark val="out"/>
        <c:minorTickMark val="none"/>
        <c:tickLblPos val="nextTo"/>
        <c:crossAx val="92070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dashboard.xlsx]Sheet6!PivotTable24</c:name>
    <c:fmtId val="2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Sheet6!$G$68:$G$71</c:f>
              <c:strCache>
                <c:ptCount val="3"/>
                <c:pt idx="0">
                  <c:v>Monitor</c:v>
                </c:pt>
                <c:pt idx="1">
                  <c:v>Printer</c:v>
                </c:pt>
                <c:pt idx="2">
                  <c:v>Scanner</c:v>
                </c:pt>
              </c:strCache>
            </c:strRef>
          </c:cat>
          <c:val>
            <c:numRef>
              <c:f>Sheet6!$H$68:$H$71</c:f>
              <c:numCache>
                <c:formatCode>General</c:formatCode>
                <c:ptCount val="3"/>
                <c:pt idx="0">
                  <c:v>339000</c:v>
                </c:pt>
                <c:pt idx="1">
                  <c:v>934840</c:v>
                </c:pt>
                <c:pt idx="2">
                  <c:v>352200</c:v>
                </c:pt>
              </c:numCache>
            </c:numRef>
          </c:val>
          <c:smooth val="0"/>
          <c:extLst>
            <c:ext xmlns:c16="http://schemas.microsoft.com/office/drawing/2014/chart" uri="{C3380CC4-5D6E-409C-BE32-E72D297353CC}">
              <c16:uniqueId val="{00000000-A65A-4B54-92CC-AD0A236D150B}"/>
            </c:ext>
          </c:extLst>
        </c:ser>
        <c:dLbls>
          <c:dLblPos val="t"/>
          <c:showLegendKey val="0"/>
          <c:showVal val="1"/>
          <c:showCatName val="0"/>
          <c:showSerName val="0"/>
          <c:showPercent val="0"/>
          <c:showBubbleSize val="0"/>
        </c:dLbls>
        <c:marker val="1"/>
        <c:smooth val="0"/>
        <c:axId val="1351134400"/>
        <c:axId val="1351135840"/>
      </c:lineChart>
      <c:catAx>
        <c:axId val="13511344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51135840"/>
        <c:crosses val="autoZero"/>
        <c:auto val="1"/>
        <c:lblAlgn val="ctr"/>
        <c:lblOffset val="100"/>
        <c:noMultiLvlLbl val="0"/>
      </c:catAx>
      <c:valAx>
        <c:axId val="1351135840"/>
        <c:scaling>
          <c:orientation val="minMax"/>
        </c:scaling>
        <c:delete val="1"/>
        <c:axPos val="l"/>
        <c:numFmt formatCode="General" sourceLinked="1"/>
        <c:majorTickMark val="none"/>
        <c:minorTickMark val="none"/>
        <c:tickLblPos val="nextTo"/>
        <c:crossAx val="135113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 avbh dashboard.xlsx]Sheet6!PivotTable25</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77777777777767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6111111111110906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77777777777767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6111111111110906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777777777777767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777777777777767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2.777777777777767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Sheet6!$K$67</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3C95-4A74-8C6A-2185DBE64AB5}"/>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3C95-4A74-8C6A-2185DBE64AB5}"/>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3C95-4A74-8C6A-2185DBE64AB5}"/>
              </c:ext>
            </c:extLst>
          </c:dPt>
          <c:dLbls>
            <c:dLbl>
              <c:idx val="0"/>
              <c:layout>
                <c:manualLayout>
                  <c:x val="2.777777777777767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95-4A74-8C6A-2185DBE64AB5}"/>
                </c:ext>
              </c:extLst>
            </c:dLbl>
            <c:dLbl>
              <c:idx val="1"/>
              <c:layout>
                <c:manualLayout>
                  <c:x val="1.944444444444434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95-4A74-8C6A-2185DBE64AB5}"/>
                </c:ext>
              </c:extLst>
            </c:dLbl>
            <c:dLbl>
              <c:idx val="2"/>
              <c:layout>
                <c:manualLayout>
                  <c:x val="2.777777777777767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95-4A74-8C6A-2185DBE64AB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Sheet6!$J$68:$J$71</c:f>
              <c:strCache>
                <c:ptCount val="3"/>
                <c:pt idx="0">
                  <c:v>Keyboard</c:v>
                </c:pt>
                <c:pt idx="1">
                  <c:v>Mouse</c:v>
                </c:pt>
                <c:pt idx="2">
                  <c:v>Speaker</c:v>
                </c:pt>
              </c:strCache>
            </c:strRef>
          </c:cat>
          <c:val>
            <c:numRef>
              <c:f>Sheet6!$K$68:$K$71</c:f>
              <c:numCache>
                <c:formatCode>General</c:formatCode>
                <c:ptCount val="3"/>
                <c:pt idx="0">
                  <c:v>24940</c:v>
                </c:pt>
                <c:pt idx="1">
                  <c:v>66150</c:v>
                </c:pt>
                <c:pt idx="2">
                  <c:v>65400</c:v>
                </c:pt>
              </c:numCache>
            </c:numRef>
          </c:val>
          <c:extLst>
            <c:ext xmlns:c16="http://schemas.microsoft.com/office/drawing/2014/chart" uri="{C3380CC4-5D6E-409C-BE32-E72D297353CC}">
              <c16:uniqueId val="{00000003-3C95-4A74-8C6A-2185DBE64AB5}"/>
            </c:ext>
          </c:extLst>
        </c:ser>
        <c:dLbls>
          <c:showLegendKey val="0"/>
          <c:showVal val="1"/>
          <c:showCatName val="0"/>
          <c:showSerName val="0"/>
          <c:showPercent val="0"/>
          <c:showBubbleSize val="0"/>
        </c:dLbls>
        <c:gapWidth val="150"/>
        <c:shape val="box"/>
        <c:axId val="1355063408"/>
        <c:axId val="1597207184"/>
        <c:axId val="0"/>
      </c:bar3DChart>
      <c:catAx>
        <c:axId val="1355063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97207184"/>
        <c:crosses val="autoZero"/>
        <c:auto val="1"/>
        <c:lblAlgn val="ctr"/>
        <c:lblOffset val="100"/>
        <c:noMultiLvlLbl val="0"/>
      </c:catAx>
      <c:valAx>
        <c:axId val="1597207184"/>
        <c:scaling>
          <c:orientation val="minMax"/>
        </c:scaling>
        <c:delete val="1"/>
        <c:axPos val="b"/>
        <c:numFmt formatCode="General" sourceLinked="1"/>
        <c:majorTickMark val="out"/>
        <c:minorTickMark val="none"/>
        <c:tickLblPos val="nextTo"/>
        <c:crossAx val="135506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ITEMS!A1"/><Relationship Id="rId7" Type="http://schemas.openxmlformats.org/officeDocument/2006/relationships/hyperlink" Target="#'DASHBOARD (2)'!A1"/><Relationship Id="rId2" Type="http://schemas.openxmlformats.org/officeDocument/2006/relationships/hyperlink" Target="#SALESMAN!A1"/><Relationship Id="rId1" Type="http://schemas.openxmlformats.org/officeDocument/2006/relationships/hyperlink" Target="#DASHBOARD!A1"/><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image" Target="../media/image5.sv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8.svg"/><Relationship Id="rId3" Type="http://schemas.openxmlformats.org/officeDocument/2006/relationships/hyperlink" Target="#ITEMS!A1"/><Relationship Id="rId7" Type="http://schemas.openxmlformats.org/officeDocument/2006/relationships/chart" Target="../charts/chart13.xml"/><Relationship Id="rId12" Type="http://schemas.openxmlformats.org/officeDocument/2006/relationships/image" Target="../media/image7.png"/><Relationship Id="rId2" Type="http://schemas.openxmlformats.org/officeDocument/2006/relationships/hyperlink" Target="#SALESMAN!A1"/><Relationship Id="rId16" Type="http://schemas.openxmlformats.org/officeDocument/2006/relationships/hyperlink" Target="#'DASHBOARD (2)'!A1"/><Relationship Id="rId1" Type="http://schemas.openxmlformats.org/officeDocument/2006/relationships/hyperlink" Target="#DASHBOARD!A1"/><Relationship Id="rId6" Type="http://schemas.openxmlformats.org/officeDocument/2006/relationships/chart" Target="../charts/chart12.xml"/><Relationship Id="rId11" Type="http://schemas.openxmlformats.org/officeDocument/2006/relationships/chart" Target="../charts/chart15.xml"/><Relationship Id="rId5" Type="http://schemas.openxmlformats.org/officeDocument/2006/relationships/chart" Target="../charts/chart11.xml"/><Relationship Id="rId15" Type="http://schemas.openxmlformats.org/officeDocument/2006/relationships/image" Target="../media/image10.svg"/><Relationship Id="rId10" Type="http://schemas.openxmlformats.org/officeDocument/2006/relationships/image" Target="../media/image3.svg"/><Relationship Id="rId4" Type="http://schemas.openxmlformats.org/officeDocument/2006/relationships/image" Target="../media/image1.png"/><Relationship Id="rId9" Type="http://schemas.openxmlformats.org/officeDocument/2006/relationships/image" Target="../media/image2.pn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7.xml"/><Relationship Id="rId3" Type="http://schemas.openxmlformats.org/officeDocument/2006/relationships/hyperlink" Target="#ITEMS!A1"/><Relationship Id="rId7" Type="http://schemas.openxmlformats.org/officeDocument/2006/relationships/image" Target="../media/image7.png"/><Relationship Id="rId12" Type="http://schemas.openxmlformats.org/officeDocument/2006/relationships/chart" Target="../charts/chart16.xml"/><Relationship Id="rId17" Type="http://schemas.openxmlformats.org/officeDocument/2006/relationships/hyperlink" Target="#'DASHBOARD (2)'!A1"/><Relationship Id="rId2" Type="http://schemas.openxmlformats.org/officeDocument/2006/relationships/hyperlink" Target="#SALESMAN!A1"/><Relationship Id="rId16" Type="http://schemas.openxmlformats.org/officeDocument/2006/relationships/image" Target="../media/image5.svg"/><Relationship Id="rId1" Type="http://schemas.openxmlformats.org/officeDocument/2006/relationships/hyperlink" Target="#DASHBOARD!A1"/><Relationship Id="rId6" Type="http://schemas.openxmlformats.org/officeDocument/2006/relationships/image" Target="../media/image3.svg"/><Relationship Id="rId11" Type="http://schemas.openxmlformats.org/officeDocument/2006/relationships/image" Target="../media/image11.png"/><Relationship Id="rId5" Type="http://schemas.openxmlformats.org/officeDocument/2006/relationships/image" Target="../media/image2.png"/><Relationship Id="rId15" Type="http://schemas.openxmlformats.org/officeDocument/2006/relationships/image" Target="../media/image4.png"/><Relationship Id="rId10" Type="http://schemas.openxmlformats.org/officeDocument/2006/relationships/image" Target="../media/image10.svg"/><Relationship Id="rId4" Type="http://schemas.openxmlformats.org/officeDocument/2006/relationships/image" Target="../media/image1.png"/><Relationship Id="rId9" Type="http://schemas.openxmlformats.org/officeDocument/2006/relationships/image" Target="../media/image9.png"/><Relationship Id="rId1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5.svg"/><Relationship Id="rId3" Type="http://schemas.openxmlformats.org/officeDocument/2006/relationships/hyperlink" Target="#ITEMS!A1"/><Relationship Id="rId7" Type="http://schemas.openxmlformats.org/officeDocument/2006/relationships/image" Target="../media/image7.png"/><Relationship Id="rId12" Type="http://schemas.openxmlformats.org/officeDocument/2006/relationships/image" Target="../media/image4.png"/><Relationship Id="rId17" Type="http://schemas.openxmlformats.org/officeDocument/2006/relationships/hyperlink" Target="#ABOUT!A1"/><Relationship Id="rId2" Type="http://schemas.openxmlformats.org/officeDocument/2006/relationships/hyperlink" Target="#SALESMAN!A1"/><Relationship Id="rId16" Type="http://schemas.openxmlformats.org/officeDocument/2006/relationships/chart" Target="../charts/chart21.xml"/><Relationship Id="rId1" Type="http://schemas.openxmlformats.org/officeDocument/2006/relationships/hyperlink" Target="#DASHBOARD!A1"/><Relationship Id="rId6" Type="http://schemas.openxmlformats.org/officeDocument/2006/relationships/image" Target="../media/image3.svg"/><Relationship Id="rId11" Type="http://schemas.openxmlformats.org/officeDocument/2006/relationships/image" Target="../media/image11.png"/><Relationship Id="rId5" Type="http://schemas.openxmlformats.org/officeDocument/2006/relationships/image" Target="../media/image2.png"/><Relationship Id="rId15" Type="http://schemas.openxmlformats.org/officeDocument/2006/relationships/chart" Target="../charts/chart20.xml"/><Relationship Id="rId10" Type="http://schemas.openxmlformats.org/officeDocument/2006/relationships/image" Target="../media/image10.svg"/><Relationship Id="rId4" Type="http://schemas.openxmlformats.org/officeDocument/2006/relationships/image" Target="../media/image1.png"/><Relationship Id="rId9" Type="http://schemas.openxmlformats.org/officeDocument/2006/relationships/image" Target="../media/image9.png"/><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22860</xdr:rowOff>
    </xdr:from>
    <xdr:to>
      <xdr:col>23</xdr:col>
      <xdr:colOff>152400</xdr:colOff>
      <xdr:row>28</xdr:row>
      <xdr:rowOff>223213</xdr:rowOff>
    </xdr:to>
    <xdr:sp macro="" textlink="">
      <xdr:nvSpPr>
        <xdr:cNvPr id="2" name="Rectangle: Rounded Corners 1">
          <a:extLst>
            <a:ext uri="{FF2B5EF4-FFF2-40B4-BE49-F238E27FC236}">
              <a16:creationId xmlns:a16="http://schemas.microsoft.com/office/drawing/2014/main" id="{4FCB8B2C-3EFB-47B7-943A-C0E4903332DC}"/>
            </a:ext>
          </a:extLst>
        </xdr:cNvPr>
        <xdr:cNvSpPr/>
      </xdr:nvSpPr>
      <xdr:spPr>
        <a:xfrm>
          <a:off x="60960" y="22860"/>
          <a:ext cx="14076834" cy="66658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434647</xdr:colOff>
      <xdr:row>0</xdr:row>
      <xdr:rowOff>38408</xdr:rowOff>
    </xdr:from>
    <xdr:to>
      <xdr:col>23</xdr:col>
      <xdr:colOff>192423</xdr:colOff>
      <xdr:row>28</xdr:row>
      <xdr:rowOff>223212</xdr:rowOff>
    </xdr:to>
    <xdr:sp macro="" textlink="">
      <xdr:nvSpPr>
        <xdr:cNvPr id="3" name="Rectangle: Rounded Corners 2">
          <a:extLst>
            <a:ext uri="{FF2B5EF4-FFF2-40B4-BE49-F238E27FC236}">
              <a16:creationId xmlns:a16="http://schemas.microsoft.com/office/drawing/2014/main" id="{2120C843-B9A4-4898-8725-C05E5F293A2F}"/>
            </a:ext>
          </a:extLst>
        </xdr:cNvPr>
        <xdr:cNvSpPr/>
      </xdr:nvSpPr>
      <xdr:spPr>
        <a:xfrm>
          <a:off x="1650768" y="38408"/>
          <a:ext cx="12527049" cy="6650259"/>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377152</xdr:colOff>
      <xdr:row>1</xdr:row>
      <xdr:rowOff>115454</xdr:rowOff>
    </xdr:from>
    <xdr:to>
      <xdr:col>20</xdr:col>
      <xdr:colOff>223212</xdr:colOff>
      <xdr:row>6</xdr:row>
      <xdr:rowOff>73428</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01AA6432-63AA-4801-8D28-496118852E5D}"/>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6457758" y="346363"/>
              <a:ext cx="5926666"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296101</xdr:colOff>
      <xdr:row>1</xdr:row>
      <xdr:rowOff>169333</xdr:rowOff>
    </xdr:from>
    <xdr:to>
      <xdr:col>22</xdr:col>
      <xdr:colOff>523393</xdr:colOff>
      <xdr:row>15</xdr:row>
      <xdr:rowOff>37946</xdr:rowOff>
    </xdr:to>
    <mc:AlternateContent xmlns:mc="http://schemas.openxmlformats.org/markup-compatibility/2006" xmlns:a14="http://schemas.microsoft.com/office/drawing/2010/main">
      <mc:Choice Requires="a14">
        <xdr:graphicFrame macro="">
          <xdr:nvGraphicFramePr>
            <xdr:cNvPr id="5" name="Salesman 4">
              <a:extLst>
                <a:ext uri="{FF2B5EF4-FFF2-40B4-BE49-F238E27FC236}">
                  <a16:creationId xmlns:a16="http://schemas.microsoft.com/office/drawing/2014/main" id="{95EE7C78-12DC-4C4F-9EAF-C4BDCE01188A}"/>
                </a:ext>
              </a:extLst>
            </xdr:cNvPr>
            <xdr:cNvGraphicFramePr/>
          </xdr:nvGraphicFramePr>
          <xdr:xfrm>
            <a:off x="0" y="0"/>
            <a:ext cx="0" cy="0"/>
          </xdr:xfrm>
          <a:graphic>
            <a:graphicData uri="http://schemas.microsoft.com/office/drawing/2010/slicer">
              <sle:slicer xmlns:sle="http://schemas.microsoft.com/office/drawing/2010/slicer" name="Salesman 4"/>
            </a:graphicData>
          </a:graphic>
        </xdr:graphicFrame>
      </mc:Choice>
      <mc:Fallback xmlns="">
        <xdr:sp macro="" textlink="">
          <xdr:nvSpPr>
            <xdr:cNvPr id="0" name=""/>
            <xdr:cNvSpPr>
              <a:spLocks noTextEdit="1"/>
            </xdr:cNvSpPr>
          </xdr:nvSpPr>
          <xdr:spPr>
            <a:xfrm>
              <a:off x="12457313" y="400242"/>
              <a:ext cx="1443413" cy="3101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546486</xdr:colOff>
      <xdr:row>6</xdr:row>
      <xdr:rowOff>191347</xdr:rowOff>
    </xdr:from>
    <xdr:to>
      <xdr:col>20</xdr:col>
      <xdr:colOff>211975</xdr:colOff>
      <xdr:row>10</xdr:row>
      <xdr:rowOff>61577</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A25205BD-A959-4A99-80C1-3480E4663FEC}"/>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762607" y="1576802"/>
              <a:ext cx="10610580" cy="793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83820</xdr:rowOff>
    </xdr:from>
    <xdr:to>
      <xdr:col>2</xdr:col>
      <xdr:colOff>327660</xdr:colOff>
      <xdr:row>11</xdr:row>
      <xdr:rowOff>207818</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12587679-F813-44E7-AC53-69D68E4394CD}"/>
            </a:ext>
          </a:extLst>
        </xdr:cNvPr>
        <xdr:cNvSpPr/>
      </xdr:nvSpPr>
      <xdr:spPr>
        <a:xfrm>
          <a:off x="114300" y="1931093"/>
          <a:ext cx="1429481" cy="8167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rPr>
            <a:t>DASHBOARD</a:t>
          </a:r>
        </a:p>
      </xdr:txBody>
    </xdr:sp>
    <xdr:clientData/>
  </xdr:twoCellAnchor>
  <xdr:twoCellAnchor>
    <xdr:from>
      <xdr:col>0</xdr:col>
      <xdr:colOff>114377</xdr:colOff>
      <xdr:row>12</xdr:row>
      <xdr:rowOff>69043</xdr:rowOff>
    </xdr:from>
    <xdr:to>
      <xdr:col>2</xdr:col>
      <xdr:colOff>297257</xdr:colOff>
      <xdr:row>15</xdr:row>
      <xdr:rowOff>192426</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ADADBF51-9C98-4A4A-93BF-F693F5E72B68}"/>
            </a:ext>
          </a:extLst>
        </xdr:cNvPr>
        <xdr:cNvSpPr/>
      </xdr:nvSpPr>
      <xdr:spPr>
        <a:xfrm>
          <a:off x="114377" y="2839952"/>
          <a:ext cx="1399001" cy="81611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1"/>
              </a:solidFill>
            </a:rPr>
            <a:t>SALESMAN</a:t>
          </a:r>
        </a:p>
      </xdr:txBody>
    </xdr:sp>
    <xdr:clientData/>
  </xdr:twoCellAnchor>
  <xdr:twoCellAnchor>
    <xdr:from>
      <xdr:col>0</xdr:col>
      <xdr:colOff>114300</xdr:colOff>
      <xdr:row>16</xdr:row>
      <xdr:rowOff>67118</xdr:rowOff>
    </xdr:from>
    <xdr:to>
      <xdr:col>2</xdr:col>
      <xdr:colOff>312420</xdr:colOff>
      <xdr:row>19</xdr:row>
      <xdr:rowOff>200121</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FBAD5CD7-7421-4526-8602-E050642C395D}"/>
            </a:ext>
          </a:extLst>
        </xdr:cNvPr>
        <xdr:cNvSpPr/>
      </xdr:nvSpPr>
      <xdr:spPr>
        <a:xfrm>
          <a:off x="114300" y="3761663"/>
          <a:ext cx="1414241" cy="82573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1"/>
              </a:solidFill>
            </a:rPr>
            <a:t>ITEMS</a:t>
          </a:r>
        </a:p>
      </xdr:txBody>
    </xdr:sp>
    <xdr:clientData/>
  </xdr:twoCellAnchor>
  <xdr:twoCellAnchor editAs="oneCell">
    <xdr:from>
      <xdr:col>0</xdr:col>
      <xdr:colOff>220980</xdr:colOff>
      <xdr:row>2</xdr:row>
      <xdr:rowOff>91440</xdr:rowOff>
    </xdr:from>
    <xdr:to>
      <xdr:col>2</xdr:col>
      <xdr:colOff>327660</xdr:colOff>
      <xdr:row>8</xdr:row>
      <xdr:rowOff>7621</xdr:rowOff>
    </xdr:to>
    <xdr:pic>
      <xdr:nvPicPr>
        <xdr:cNvPr id="15" name="Picture 14">
          <a:extLst>
            <a:ext uri="{FF2B5EF4-FFF2-40B4-BE49-F238E27FC236}">
              <a16:creationId xmlns:a16="http://schemas.microsoft.com/office/drawing/2014/main" id="{18C4B33A-1AD8-446D-8177-0235B3791185}"/>
            </a:ext>
          </a:extLst>
        </xdr:cNvPr>
        <xdr:cNvPicPr>
          <a:picLocks noChangeAspect="1"/>
        </xdr:cNvPicPr>
      </xdr:nvPicPr>
      <xdr:blipFill>
        <a:blip xmlns:r="http://schemas.openxmlformats.org/officeDocument/2006/relationships" r:embed="rId4"/>
        <a:stretch>
          <a:fillRect/>
        </a:stretch>
      </xdr:blipFill>
      <xdr:spPr>
        <a:xfrm>
          <a:off x="220980" y="548640"/>
          <a:ext cx="1325880" cy="1287781"/>
        </a:xfrm>
        <a:prstGeom prst="rect">
          <a:avLst/>
        </a:prstGeom>
        <a:ln>
          <a:noFill/>
        </a:ln>
      </xdr:spPr>
    </xdr:pic>
    <xdr:clientData/>
  </xdr:twoCellAnchor>
  <xdr:twoCellAnchor>
    <xdr:from>
      <xdr:col>3</xdr:col>
      <xdr:colOff>200121</xdr:colOff>
      <xdr:row>1</xdr:row>
      <xdr:rowOff>107757</xdr:rowOff>
    </xdr:from>
    <xdr:to>
      <xdr:col>10</xdr:col>
      <xdr:colOff>253999</xdr:colOff>
      <xdr:row>6</xdr:row>
      <xdr:rowOff>84127</xdr:rowOff>
    </xdr:to>
    <xdr:sp macro="" textlink="">
      <xdr:nvSpPr>
        <xdr:cNvPr id="23" name="Rectangle 22">
          <a:extLst>
            <a:ext uri="{FF2B5EF4-FFF2-40B4-BE49-F238E27FC236}">
              <a16:creationId xmlns:a16="http://schemas.microsoft.com/office/drawing/2014/main" id="{64F484A5-8B54-476B-A33A-4D1C7A76D5D5}"/>
            </a:ext>
          </a:extLst>
        </xdr:cNvPr>
        <xdr:cNvSpPr/>
      </xdr:nvSpPr>
      <xdr:spPr>
        <a:xfrm>
          <a:off x="2024303" y="338666"/>
          <a:ext cx="4310302" cy="1130916"/>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2400" b="1">
              <a:solidFill>
                <a:schemeClr val="tx1"/>
              </a:solidFill>
              <a:effectLst>
                <a:outerShdw blurRad="50800" dist="38100" dir="5400000" algn="t" rotWithShape="0">
                  <a:prstClr val="black">
                    <a:alpha val="40000"/>
                  </a:prstClr>
                </a:outerShdw>
                <a:reflection blurRad="6350" stA="60000" endA="900" endPos="58000" dir="5400000" sy="-100000" algn="bl" rotWithShape="0"/>
              </a:effectLst>
            </a:rPr>
            <a:t>SALES</a:t>
          </a:r>
          <a:r>
            <a:rPr lang="en-IN" sz="2400" b="1" baseline="0">
              <a:solidFill>
                <a:schemeClr val="tx1"/>
              </a:solidFill>
              <a:effectLst>
                <a:outerShdw blurRad="50800" dist="38100" dir="5400000" algn="t" rotWithShape="0">
                  <a:prstClr val="black">
                    <a:alpha val="40000"/>
                  </a:prstClr>
                </a:outerShdw>
                <a:reflection blurRad="6350" stA="60000" endA="900" endPos="58000" dir="5400000" sy="-100000" algn="bl" rotWithShape="0"/>
              </a:effectLst>
            </a:rPr>
            <a:t> DASHBOARD</a:t>
          </a:r>
          <a:endParaRPr lang="en-IN" sz="2400" b="1">
            <a:solidFill>
              <a:schemeClr val="tx1"/>
            </a:solidFill>
            <a:effectLst>
              <a:outerShdw blurRad="50800" dist="38100" dir="5400000" algn="t" rotWithShape="0">
                <a:prstClr val="black">
                  <a:alpha val="40000"/>
                </a:prstClr>
              </a:outerShdw>
              <a:reflection blurRad="6350" stA="60000" endA="900" endPos="58000" dir="5400000" sy="-100000" algn="bl" rotWithShape="0"/>
            </a:effectLst>
          </a:endParaRPr>
        </a:p>
      </xdr:txBody>
    </xdr:sp>
    <xdr:clientData/>
  </xdr:twoCellAnchor>
  <xdr:twoCellAnchor editAs="oneCell">
    <xdr:from>
      <xdr:col>8</xdr:col>
      <xdr:colOff>99213</xdr:colOff>
      <xdr:row>3</xdr:row>
      <xdr:rowOff>67656</xdr:rowOff>
    </xdr:from>
    <xdr:to>
      <xdr:col>10</xdr:col>
      <xdr:colOff>167794</xdr:colOff>
      <xdr:row>6</xdr:row>
      <xdr:rowOff>146164</xdr:rowOff>
    </xdr:to>
    <xdr:pic>
      <xdr:nvPicPr>
        <xdr:cNvPr id="24" name="Graphic 23" descr="Bar chart with solid fill">
          <a:extLst>
            <a:ext uri="{FF2B5EF4-FFF2-40B4-BE49-F238E27FC236}">
              <a16:creationId xmlns:a16="http://schemas.microsoft.com/office/drawing/2014/main" id="{2F65052C-0D11-489D-8D9A-5B9CAF8E41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63698" y="760383"/>
          <a:ext cx="1284702" cy="771236"/>
        </a:xfrm>
        <a:prstGeom prst="rect">
          <a:avLst/>
        </a:prstGeom>
      </xdr:spPr>
    </xdr:pic>
    <xdr:clientData/>
  </xdr:twoCellAnchor>
  <xdr:twoCellAnchor editAs="oneCell">
    <xdr:from>
      <xdr:col>20</xdr:col>
      <xdr:colOff>311573</xdr:colOff>
      <xdr:row>15</xdr:row>
      <xdr:rowOff>91593</xdr:rowOff>
    </xdr:from>
    <xdr:to>
      <xdr:col>22</xdr:col>
      <xdr:colOff>508000</xdr:colOff>
      <xdr:row>25</xdr:row>
      <xdr:rowOff>61575</xdr:rowOff>
    </xdr:to>
    <mc:AlternateContent xmlns:mc="http://schemas.openxmlformats.org/markup-compatibility/2006" xmlns:a14="http://schemas.microsoft.com/office/drawing/2010/main">
      <mc:Choice Requires="a14">
        <xdr:graphicFrame macro="">
          <xdr:nvGraphicFramePr>
            <xdr:cNvPr id="28" name="Region 4">
              <a:extLst>
                <a:ext uri="{FF2B5EF4-FFF2-40B4-BE49-F238E27FC236}">
                  <a16:creationId xmlns:a16="http://schemas.microsoft.com/office/drawing/2014/main" id="{9F2A3775-69E9-4D8B-B021-48A1DB767B8A}"/>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2472785" y="3555229"/>
              <a:ext cx="1412548" cy="2279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138544</xdr:colOff>
      <xdr:row>20</xdr:row>
      <xdr:rowOff>46182</xdr:rowOff>
    </xdr:from>
    <xdr:to>
      <xdr:col>2</xdr:col>
      <xdr:colOff>307878</xdr:colOff>
      <xdr:row>24</xdr:row>
      <xdr:rowOff>23091</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9AC5E77D-054A-E369-DA37-30318C03A4A8}"/>
            </a:ext>
          </a:extLst>
        </xdr:cNvPr>
        <xdr:cNvSpPr/>
      </xdr:nvSpPr>
      <xdr:spPr>
        <a:xfrm>
          <a:off x="138544" y="4664364"/>
          <a:ext cx="1385455" cy="900545"/>
        </a:xfrm>
        <a:prstGeom prst="roundRect">
          <a:avLst/>
        </a:prstGeom>
        <a:solidFill>
          <a:srgbClr val="CCFF66"/>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ABOUT</a:t>
          </a:r>
        </a:p>
      </xdr:txBody>
    </xdr:sp>
    <xdr:clientData/>
  </xdr:twoCellAnchor>
  <xdr:twoCellAnchor editAs="oneCell">
    <xdr:from>
      <xdr:col>3</xdr:col>
      <xdr:colOff>138546</xdr:colOff>
      <xdr:row>10</xdr:row>
      <xdr:rowOff>0</xdr:rowOff>
    </xdr:from>
    <xdr:to>
      <xdr:col>5</xdr:col>
      <xdr:colOff>223213</xdr:colOff>
      <xdr:row>14</xdr:row>
      <xdr:rowOff>177031</xdr:rowOff>
    </xdr:to>
    <xdr:pic>
      <xdr:nvPicPr>
        <xdr:cNvPr id="36" name="Graphic 35" descr="Bar chart with solid fill">
          <a:extLst>
            <a:ext uri="{FF2B5EF4-FFF2-40B4-BE49-F238E27FC236}">
              <a16:creationId xmlns:a16="http://schemas.microsoft.com/office/drawing/2014/main" id="{1DF524FD-E8A0-601A-5383-3B5ED77C4F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62728" y="2309091"/>
          <a:ext cx="1300788" cy="1100667"/>
        </a:xfrm>
        <a:prstGeom prst="rect">
          <a:avLst/>
        </a:prstGeom>
      </xdr:spPr>
    </xdr:pic>
    <xdr:clientData/>
  </xdr:twoCellAnchor>
  <xdr:twoCellAnchor>
    <xdr:from>
      <xdr:col>5</xdr:col>
      <xdr:colOff>277091</xdr:colOff>
      <xdr:row>11</xdr:row>
      <xdr:rowOff>177030</xdr:rowOff>
    </xdr:from>
    <xdr:to>
      <xdr:col>8</xdr:col>
      <xdr:colOff>23091</xdr:colOff>
      <xdr:row>13</xdr:row>
      <xdr:rowOff>138545</xdr:rowOff>
    </xdr:to>
    <xdr:sp macro="" textlink="">
      <xdr:nvSpPr>
        <xdr:cNvPr id="39" name="Rectangle 38">
          <a:extLst>
            <a:ext uri="{FF2B5EF4-FFF2-40B4-BE49-F238E27FC236}">
              <a16:creationId xmlns:a16="http://schemas.microsoft.com/office/drawing/2014/main" id="{B826A76B-DEDC-4713-8103-4812FB30C876}"/>
            </a:ext>
          </a:extLst>
        </xdr:cNvPr>
        <xdr:cNvSpPr/>
      </xdr:nvSpPr>
      <xdr:spPr>
        <a:xfrm>
          <a:off x="3317394" y="2717030"/>
          <a:ext cx="1570182" cy="423333"/>
        </a:xfrm>
        <a:prstGeom prst="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t>ABOUT</a:t>
          </a:r>
        </a:p>
      </xdr:txBody>
    </xdr:sp>
    <xdr:clientData/>
  </xdr:twoCellAnchor>
  <xdr:twoCellAnchor>
    <xdr:from>
      <xdr:col>3</xdr:col>
      <xdr:colOff>200121</xdr:colOff>
      <xdr:row>14</xdr:row>
      <xdr:rowOff>177031</xdr:rowOff>
    </xdr:from>
    <xdr:to>
      <xdr:col>20</xdr:col>
      <xdr:colOff>130849</xdr:colOff>
      <xdr:row>26</xdr:row>
      <xdr:rowOff>46182</xdr:rowOff>
    </xdr:to>
    <xdr:sp macro="" textlink="">
      <xdr:nvSpPr>
        <xdr:cNvPr id="40" name="Rectangle: Rounded Corners 39">
          <a:extLst>
            <a:ext uri="{FF2B5EF4-FFF2-40B4-BE49-F238E27FC236}">
              <a16:creationId xmlns:a16="http://schemas.microsoft.com/office/drawing/2014/main" id="{1E589E89-760D-DE9F-A8C6-B49DEEB22DF9}"/>
            </a:ext>
          </a:extLst>
        </xdr:cNvPr>
        <xdr:cNvSpPr/>
      </xdr:nvSpPr>
      <xdr:spPr>
        <a:xfrm>
          <a:off x="2024303" y="3409758"/>
          <a:ext cx="10267758" cy="26400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Project Developer</a:t>
          </a:r>
          <a:r>
            <a:rPr lang="en-IN" sz="1800" b="1" baseline="0"/>
            <a:t> :</a:t>
          </a:r>
        </a:p>
        <a:p>
          <a:pPr algn="l"/>
          <a:endParaRPr lang="en-IN" sz="1800" b="1" baseline="0"/>
        </a:p>
        <a:p>
          <a:pPr algn="l"/>
          <a:r>
            <a:rPr lang="en-IN" sz="1400" b="0" u="sng" baseline="0"/>
            <a:t>This wonderful project is created by Me (Avnish Bhatt).</a:t>
          </a:r>
        </a:p>
        <a:p>
          <a:pPr algn="l"/>
          <a:r>
            <a:rPr lang="en-IN" sz="1400" b="0" baseline="0"/>
            <a:t> </a:t>
          </a:r>
          <a:r>
            <a:rPr lang="en-IN" sz="2400" b="1"/>
            <a:t> </a:t>
          </a:r>
        </a:p>
        <a:p>
          <a:pPr algn="l"/>
          <a:r>
            <a:rPr lang="en-IN" sz="1800" b="1" baseline="0"/>
            <a:t>Skills :</a:t>
          </a:r>
        </a:p>
        <a:p>
          <a:pPr algn="l"/>
          <a:endParaRPr lang="en-IN" sz="1800" b="1" baseline="0"/>
        </a:p>
        <a:p>
          <a:pPr algn="l"/>
          <a:r>
            <a:rPr lang="en-IN" sz="1400" b="0" u="sng" baseline="0"/>
            <a:t>Advanced excel ( Pivot table , Pivot chart , Timeline , Slicer , Link and Report connection etc.</a:t>
          </a:r>
        </a:p>
        <a:p>
          <a:pPr algn="l"/>
          <a:endParaRPr lang="en-IN" sz="1400" b="0" baseline="0"/>
        </a:p>
        <a:p>
          <a:pPr algn="l"/>
          <a:endParaRPr lang="en-IN" sz="2000" b="1"/>
        </a:p>
        <a:p>
          <a:pPr algn="l"/>
          <a:endParaRPr lang="en-IN" sz="1100"/>
        </a:p>
      </xdr:txBody>
    </xdr:sp>
    <xdr:clientData/>
  </xdr:twoCellAnchor>
  <xdr:twoCellAnchor editAs="oneCell">
    <xdr:from>
      <xdr:col>15</xdr:col>
      <xdr:colOff>184727</xdr:colOff>
      <xdr:row>15</xdr:row>
      <xdr:rowOff>153940</xdr:rowOff>
    </xdr:from>
    <xdr:to>
      <xdr:col>19</xdr:col>
      <xdr:colOff>100060</xdr:colOff>
      <xdr:row>25</xdr:row>
      <xdr:rowOff>76123</xdr:rowOff>
    </xdr:to>
    <xdr:pic>
      <xdr:nvPicPr>
        <xdr:cNvPr id="42" name="Picture 41" descr="Dashboard - Free seo and web icons">
          <a:extLst>
            <a:ext uri="{FF2B5EF4-FFF2-40B4-BE49-F238E27FC236}">
              <a16:creationId xmlns:a16="http://schemas.microsoft.com/office/drawing/2014/main" id="{42D59C0F-BF5E-E90D-6053-992776F9D5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305636" y="3617576"/>
          <a:ext cx="2347576" cy="223127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12</xdr:row>
      <xdr:rowOff>114300</xdr:rowOff>
    </xdr:from>
    <xdr:to>
      <xdr:col>4</xdr:col>
      <xdr:colOff>434340</xdr:colOff>
      <xdr:row>21</xdr:row>
      <xdr:rowOff>167640</xdr:rowOff>
    </xdr:to>
    <xdr:graphicFrame macro="">
      <xdr:nvGraphicFramePr>
        <xdr:cNvPr id="7" name="Chart 6">
          <a:extLst>
            <a:ext uri="{FF2B5EF4-FFF2-40B4-BE49-F238E27FC236}">
              <a16:creationId xmlns:a16="http://schemas.microsoft.com/office/drawing/2014/main" id="{24554D79-002E-2A19-490E-EA05722C1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12</xdr:row>
      <xdr:rowOff>129540</xdr:rowOff>
    </xdr:from>
    <xdr:to>
      <xdr:col>9</xdr:col>
      <xdr:colOff>320040</xdr:colOff>
      <xdr:row>21</xdr:row>
      <xdr:rowOff>213360</xdr:rowOff>
    </xdr:to>
    <xdr:graphicFrame macro="">
      <xdr:nvGraphicFramePr>
        <xdr:cNvPr id="8" name="Chart 7">
          <a:extLst>
            <a:ext uri="{FF2B5EF4-FFF2-40B4-BE49-F238E27FC236}">
              <a16:creationId xmlns:a16="http://schemas.microsoft.com/office/drawing/2014/main" id="{687DC7C9-947D-47D2-D20A-845F62E69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464820</xdr:colOff>
      <xdr:row>12</xdr:row>
      <xdr:rowOff>83820</xdr:rowOff>
    </xdr:from>
    <xdr:to>
      <xdr:col>14</xdr:col>
      <xdr:colOff>762000</xdr:colOff>
      <xdr:row>21</xdr:row>
      <xdr:rowOff>0</xdr:rowOff>
    </xdr:to>
    <xdr:graphicFrame macro="">
      <xdr:nvGraphicFramePr>
        <xdr:cNvPr id="10" name="Chart 9">
          <a:extLst>
            <a:ext uri="{FF2B5EF4-FFF2-40B4-BE49-F238E27FC236}">
              <a16:creationId xmlns:a16="http://schemas.microsoft.com/office/drawing/2014/main" id="{C82F044A-0FEE-542C-3ADB-52666FF0F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22</xdr:row>
      <xdr:rowOff>68580</xdr:rowOff>
    </xdr:from>
    <xdr:to>
      <xdr:col>5</xdr:col>
      <xdr:colOff>91440</xdr:colOff>
      <xdr:row>32</xdr:row>
      <xdr:rowOff>190500</xdr:rowOff>
    </xdr:to>
    <xdr:graphicFrame macro="">
      <xdr:nvGraphicFramePr>
        <xdr:cNvPr id="13" name="Chart 12">
          <a:extLst>
            <a:ext uri="{FF2B5EF4-FFF2-40B4-BE49-F238E27FC236}">
              <a16:creationId xmlns:a16="http://schemas.microsoft.com/office/drawing/2014/main" id="{AA96D703-B266-CBF6-8E66-63D5CBB5A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327660</xdr:colOff>
      <xdr:row>23</xdr:row>
      <xdr:rowOff>121920</xdr:rowOff>
    </xdr:from>
    <xdr:to>
      <xdr:col>10</xdr:col>
      <xdr:colOff>205740</xdr:colOff>
      <xdr:row>32</xdr:row>
      <xdr:rowOff>22860</xdr:rowOff>
    </xdr:to>
    <xdr:graphicFrame macro="">
      <xdr:nvGraphicFramePr>
        <xdr:cNvPr id="14" name="Chart 13">
          <a:extLst>
            <a:ext uri="{FF2B5EF4-FFF2-40B4-BE49-F238E27FC236}">
              <a16:creationId xmlns:a16="http://schemas.microsoft.com/office/drawing/2014/main" id="{05173BBF-B742-4633-BAE5-E45BDB75E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373380</xdr:colOff>
      <xdr:row>21</xdr:row>
      <xdr:rowOff>167639</xdr:rowOff>
    </xdr:from>
    <xdr:to>
      <xdr:col>12</xdr:col>
      <xdr:colOff>154080</xdr:colOff>
      <xdr:row>33</xdr:row>
      <xdr:rowOff>198120</xdr:rowOff>
    </xdr:to>
    <mc:AlternateContent xmlns:mc="http://schemas.openxmlformats.org/markup-compatibility/2006" xmlns:a14="http://schemas.microsoft.com/office/drawing/2010/main">
      <mc:Choice Requires="a14">
        <xdr:graphicFrame macro="">
          <xdr:nvGraphicFramePr>
            <xdr:cNvPr id="15" name="Salesman">
              <a:extLst>
                <a:ext uri="{FF2B5EF4-FFF2-40B4-BE49-F238E27FC236}">
                  <a16:creationId xmlns:a16="http://schemas.microsoft.com/office/drawing/2014/main" id="{BDFC9A06-3259-6695-0FD5-49030D049254}"/>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9517380" y="4968239"/>
              <a:ext cx="1800000" cy="2773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594360</xdr:colOff>
      <xdr:row>21</xdr:row>
      <xdr:rowOff>198121</xdr:rowOff>
    </xdr:from>
    <xdr:to>
      <xdr:col>18</xdr:col>
      <xdr:colOff>204120</xdr:colOff>
      <xdr:row>26</xdr:row>
      <xdr:rowOff>27121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971B8B85-D035-B72B-D9F9-89CF5B4A40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52860" y="4998721"/>
              <a:ext cx="3816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251460</xdr:colOff>
      <xdr:row>27</xdr:row>
      <xdr:rowOff>22859</xdr:rowOff>
    </xdr:from>
    <xdr:to>
      <xdr:col>15</xdr:col>
      <xdr:colOff>312420</xdr:colOff>
      <xdr:row>38</xdr:row>
      <xdr:rowOff>76200</xdr:rowOff>
    </xdr:to>
    <mc:AlternateContent xmlns:mc="http://schemas.openxmlformats.org/markup-compatibility/2006" xmlns:a14="http://schemas.microsoft.com/office/drawing/2010/main">
      <mc:Choice Requires="a14">
        <xdr:graphicFrame macro="">
          <xdr:nvGraphicFramePr>
            <xdr:cNvPr id="17" name="Item">
              <a:extLst>
                <a:ext uri="{FF2B5EF4-FFF2-40B4-BE49-F238E27FC236}">
                  <a16:creationId xmlns:a16="http://schemas.microsoft.com/office/drawing/2014/main" id="{29D66D38-FEA6-B691-33DE-1347062B0B7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719560" y="6195059"/>
              <a:ext cx="1828800" cy="2567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33</xdr:row>
      <xdr:rowOff>114300</xdr:rowOff>
    </xdr:from>
    <xdr:to>
      <xdr:col>9</xdr:col>
      <xdr:colOff>434340</xdr:colOff>
      <xdr:row>37</xdr:row>
      <xdr:rowOff>121920</xdr:rowOff>
    </xdr:to>
    <mc:AlternateContent xmlns:mc="http://schemas.openxmlformats.org/markup-compatibility/2006" xmlns:tsle="http://schemas.microsoft.com/office/drawing/2012/timeslicer">
      <mc:Choice Requires="tsle">
        <xdr:graphicFrame macro="">
          <xdr:nvGraphicFramePr>
            <xdr:cNvPr id="19" name="Date">
              <a:extLst>
                <a:ext uri="{FF2B5EF4-FFF2-40B4-BE49-F238E27FC236}">
                  <a16:creationId xmlns:a16="http://schemas.microsoft.com/office/drawing/2014/main" id="{8E20E28E-02DF-43BA-033E-F7308DAE8FA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922520" y="7658100"/>
              <a:ext cx="450342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426720</xdr:colOff>
      <xdr:row>47</xdr:row>
      <xdr:rowOff>114300</xdr:rowOff>
    </xdr:from>
    <xdr:to>
      <xdr:col>15</xdr:col>
      <xdr:colOff>259080</xdr:colOff>
      <xdr:row>56</xdr:row>
      <xdr:rowOff>175260</xdr:rowOff>
    </xdr:to>
    <xdr:graphicFrame macro="">
      <xdr:nvGraphicFramePr>
        <xdr:cNvPr id="2" name="Chart 1">
          <a:extLst>
            <a:ext uri="{FF2B5EF4-FFF2-40B4-BE49-F238E27FC236}">
              <a16:creationId xmlns:a16="http://schemas.microsoft.com/office/drawing/2014/main" id="{97F52557-24A5-4B52-2B07-168139563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601980</xdr:colOff>
      <xdr:row>51</xdr:row>
      <xdr:rowOff>7620</xdr:rowOff>
    </xdr:from>
    <xdr:to>
      <xdr:col>5</xdr:col>
      <xdr:colOff>373380</xdr:colOff>
      <xdr:row>63</xdr:row>
      <xdr:rowOff>7620</xdr:rowOff>
    </xdr:to>
    <xdr:graphicFrame macro="">
      <xdr:nvGraphicFramePr>
        <xdr:cNvPr id="3" name="Chart 2">
          <a:extLst>
            <a:ext uri="{FF2B5EF4-FFF2-40B4-BE49-F238E27FC236}">
              <a16:creationId xmlns:a16="http://schemas.microsoft.com/office/drawing/2014/main" id="{DB8BFD51-E7BF-5CD8-4DB5-2CB8E0C6C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365760</xdr:colOff>
      <xdr:row>49</xdr:row>
      <xdr:rowOff>152400</xdr:rowOff>
    </xdr:from>
    <xdr:to>
      <xdr:col>10</xdr:col>
      <xdr:colOff>342900</xdr:colOff>
      <xdr:row>56</xdr:row>
      <xdr:rowOff>182880</xdr:rowOff>
    </xdr:to>
    <xdr:graphicFrame macro="">
      <xdr:nvGraphicFramePr>
        <xdr:cNvPr id="4" name="Chart 3">
          <a:extLst>
            <a:ext uri="{FF2B5EF4-FFF2-40B4-BE49-F238E27FC236}">
              <a16:creationId xmlns:a16="http://schemas.microsoft.com/office/drawing/2014/main" id="{1C6F5FAB-9A50-75BC-6C1E-A6D793EBB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464820</xdr:colOff>
      <xdr:row>65</xdr:row>
      <xdr:rowOff>7620</xdr:rowOff>
    </xdr:from>
    <xdr:to>
      <xdr:col>4</xdr:col>
      <xdr:colOff>617220</xdr:colOff>
      <xdr:row>77</xdr:row>
      <xdr:rowOff>7620</xdr:rowOff>
    </xdr:to>
    <xdr:graphicFrame macro="">
      <xdr:nvGraphicFramePr>
        <xdr:cNvPr id="5" name="Chart 4">
          <a:extLst>
            <a:ext uri="{FF2B5EF4-FFF2-40B4-BE49-F238E27FC236}">
              <a16:creationId xmlns:a16="http://schemas.microsoft.com/office/drawing/2014/main" id="{820B6D6F-D9AE-9263-209D-787D56B4D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723900</xdr:colOff>
      <xdr:row>77</xdr:row>
      <xdr:rowOff>60960</xdr:rowOff>
    </xdr:from>
    <xdr:to>
      <xdr:col>5</xdr:col>
      <xdr:colOff>68580</xdr:colOff>
      <xdr:row>89</xdr:row>
      <xdr:rowOff>60960</xdr:rowOff>
    </xdr:to>
    <xdr:graphicFrame macro="">
      <xdr:nvGraphicFramePr>
        <xdr:cNvPr id="6" name="Chart 5">
          <a:extLst>
            <a:ext uri="{FF2B5EF4-FFF2-40B4-BE49-F238E27FC236}">
              <a16:creationId xmlns:a16="http://schemas.microsoft.com/office/drawing/2014/main" id="{04AC9068-4984-C41F-8A95-B7E2AD180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60959</xdr:colOff>
      <xdr:row>0</xdr:row>
      <xdr:rowOff>22860</xdr:rowOff>
    </xdr:from>
    <xdr:to>
      <xdr:col>23</xdr:col>
      <xdr:colOff>200120</xdr:colOff>
      <xdr:row>28</xdr:row>
      <xdr:rowOff>200121</xdr:rowOff>
    </xdr:to>
    <xdr:sp macro="" textlink="">
      <xdr:nvSpPr>
        <xdr:cNvPr id="2" name="Rectangle: Rounded Corners 1">
          <a:extLst>
            <a:ext uri="{FF2B5EF4-FFF2-40B4-BE49-F238E27FC236}">
              <a16:creationId xmlns:a16="http://schemas.microsoft.com/office/drawing/2014/main" id="{9A393B83-E5E6-54A4-E883-00C78FC73033}"/>
            </a:ext>
          </a:extLst>
        </xdr:cNvPr>
        <xdr:cNvSpPr/>
      </xdr:nvSpPr>
      <xdr:spPr>
        <a:xfrm>
          <a:off x="60959" y="22860"/>
          <a:ext cx="14124555" cy="66427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434647</xdr:colOff>
      <xdr:row>0</xdr:row>
      <xdr:rowOff>7620</xdr:rowOff>
    </xdr:from>
    <xdr:to>
      <xdr:col>23</xdr:col>
      <xdr:colOff>192423</xdr:colOff>
      <xdr:row>28</xdr:row>
      <xdr:rowOff>200121</xdr:rowOff>
    </xdr:to>
    <xdr:sp macro="" textlink="">
      <xdr:nvSpPr>
        <xdr:cNvPr id="3" name="Rectangle: Rounded Corners 2">
          <a:extLst>
            <a:ext uri="{FF2B5EF4-FFF2-40B4-BE49-F238E27FC236}">
              <a16:creationId xmlns:a16="http://schemas.microsoft.com/office/drawing/2014/main" id="{11987B33-7386-4311-8266-58FFC13B203D}"/>
            </a:ext>
          </a:extLst>
        </xdr:cNvPr>
        <xdr:cNvSpPr/>
      </xdr:nvSpPr>
      <xdr:spPr>
        <a:xfrm>
          <a:off x="1650768" y="7620"/>
          <a:ext cx="12527049" cy="6657956"/>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381000</xdr:colOff>
      <xdr:row>0</xdr:row>
      <xdr:rowOff>83820</xdr:rowOff>
    </xdr:from>
    <xdr:to>
      <xdr:col>21</xdr:col>
      <xdr:colOff>548640</xdr:colOff>
      <xdr:row>4</xdr:row>
      <xdr:rowOff>91440</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1EFBF4F4-602C-4AE3-8636-E4AC4BA4F61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069667" y="83820"/>
              <a:ext cx="6248246" cy="9312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403860</xdr:colOff>
      <xdr:row>4</xdr:row>
      <xdr:rowOff>152398</xdr:rowOff>
    </xdr:from>
    <xdr:to>
      <xdr:col>23</xdr:col>
      <xdr:colOff>45886</xdr:colOff>
      <xdr:row>15</xdr:row>
      <xdr:rowOff>53340</xdr:rowOff>
    </xdr:to>
    <mc:AlternateContent xmlns:mc="http://schemas.openxmlformats.org/markup-compatibility/2006" xmlns:a14="http://schemas.microsoft.com/office/drawing/2010/main">
      <mc:Choice Requires="a14">
        <xdr:graphicFrame macro="">
          <xdr:nvGraphicFramePr>
            <xdr:cNvPr id="10" name="Salesman 1">
              <a:extLst>
                <a:ext uri="{FF2B5EF4-FFF2-40B4-BE49-F238E27FC236}">
                  <a16:creationId xmlns:a16="http://schemas.microsoft.com/office/drawing/2014/main" id="{428424C9-65FE-470F-9A7C-6004B8EC97F2}"/>
                </a:ext>
              </a:extLst>
            </xdr:cNvPr>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mlns="">
        <xdr:sp macro="" textlink="">
          <xdr:nvSpPr>
            <xdr:cNvPr id="0" name=""/>
            <xdr:cNvSpPr>
              <a:spLocks noTextEdit="1"/>
            </xdr:cNvSpPr>
          </xdr:nvSpPr>
          <xdr:spPr>
            <a:xfrm>
              <a:off x="12565072" y="1076034"/>
              <a:ext cx="1466208" cy="2440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546484</xdr:colOff>
      <xdr:row>4</xdr:row>
      <xdr:rowOff>129771</xdr:rowOff>
    </xdr:from>
    <xdr:to>
      <xdr:col>20</xdr:col>
      <xdr:colOff>350520</xdr:colOff>
      <xdr:row>8</xdr:row>
      <xdr:rowOff>5541</xdr:rowOff>
    </xdr:to>
    <mc:AlternateContent xmlns:mc="http://schemas.openxmlformats.org/markup-compatibility/2006" xmlns:a14="http://schemas.microsoft.com/office/drawing/2010/main">
      <mc:Choice Requires="a14">
        <xdr:graphicFrame macro="">
          <xdr:nvGraphicFramePr>
            <xdr:cNvPr id="12" name="Item 1">
              <a:extLst>
                <a:ext uri="{FF2B5EF4-FFF2-40B4-BE49-F238E27FC236}">
                  <a16:creationId xmlns:a16="http://schemas.microsoft.com/office/drawing/2014/main" id="{A69B20F9-6863-44B1-A13E-C507B18AC94B}"/>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62605" y="1053407"/>
              <a:ext cx="10749127" cy="799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8</xdr:row>
      <xdr:rowOff>92363</xdr:rowOff>
    </xdr:from>
    <xdr:to>
      <xdr:col>8</xdr:col>
      <xdr:colOff>525780</xdr:colOff>
      <xdr:row>17</xdr:row>
      <xdr:rowOff>60960</xdr:rowOff>
    </xdr:to>
    <xdr:sp macro="" textlink="">
      <xdr:nvSpPr>
        <xdr:cNvPr id="14" name="Rectangle: Rounded Corners 13">
          <a:extLst>
            <a:ext uri="{FF2B5EF4-FFF2-40B4-BE49-F238E27FC236}">
              <a16:creationId xmlns:a16="http://schemas.microsoft.com/office/drawing/2014/main" id="{6FCEF317-34A7-C291-3D71-D8F4B2639568}"/>
            </a:ext>
          </a:extLst>
        </xdr:cNvPr>
        <xdr:cNvSpPr/>
      </xdr:nvSpPr>
      <xdr:spPr>
        <a:xfrm>
          <a:off x="1642841" y="1939636"/>
          <a:ext cx="3747424" cy="204677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ITEM</a:t>
          </a:r>
          <a:r>
            <a:rPr lang="en-IN" sz="1200" b="1" baseline="0"/>
            <a:t> VS SUM OF AMOUNT</a:t>
          </a:r>
        </a:p>
        <a:p>
          <a:pPr algn="l"/>
          <a:endParaRPr lang="en-IN" sz="1100"/>
        </a:p>
      </xdr:txBody>
    </xdr:sp>
    <xdr:clientData/>
  </xdr:twoCellAnchor>
  <xdr:twoCellAnchor>
    <xdr:from>
      <xdr:col>8</xdr:col>
      <xdr:colOff>556260</xdr:colOff>
      <xdr:row>8</xdr:row>
      <xdr:rowOff>38100</xdr:rowOff>
    </xdr:from>
    <xdr:to>
      <xdr:col>15</xdr:col>
      <xdr:colOff>7620</xdr:colOff>
      <xdr:row>17</xdr:row>
      <xdr:rowOff>53878</xdr:rowOff>
    </xdr:to>
    <xdr:sp macro="" textlink="">
      <xdr:nvSpPr>
        <xdr:cNvPr id="15" name="Rectangle: Rounded Corners 14">
          <a:extLst>
            <a:ext uri="{FF2B5EF4-FFF2-40B4-BE49-F238E27FC236}">
              <a16:creationId xmlns:a16="http://schemas.microsoft.com/office/drawing/2014/main" id="{A6A77495-61B5-9C61-89AB-2BE5D1B73D6D}"/>
            </a:ext>
          </a:extLst>
        </xdr:cNvPr>
        <xdr:cNvSpPr/>
      </xdr:nvSpPr>
      <xdr:spPr>
        <a:xfrm>
          <a:off x="5420745" y="1885373"/>
          <a:ext cx="3707784" cy="20939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REGION</a:t>
          </a:r>
          <a:r>
            <a:rPr lang="en-IN" sz="1200" b="1" baseline="0"/>
            <a:t> VS SUM OF PRICE </a:t>
          </a:r>
          <a:endParaRPr lang="en-IN" sz="1200" b="1"/>
        </a:p>
      </xdr:txBody>
    </xdr:sp>
    <xdr:clientData/>
  </xdr:twoCellAnchor>
  <xdr:twoCellAnchor>
    <xdr:from>
      <xdr:col>15</xdr:col>
      <xdr:colOff>53340</xdr:colOff>
      <xdr:row>8</xdr:row>
      <xdr:rowOff>68580</xdr:rowOff>
    </xdr:from>
    <xdr:to>
      <xdr:col>20</xdr:col>
      <xdr:colOff>365760</xdr:colOff>
      <xdr:row>16</xdr:row>
      <xdr:rowOff>99060</xdr:rowOff>
    </xdr:to>
    <xdr:sp macro="" textlink="">
      <xdr:nvSpPr>
        <xdr:cNvPr id="16" name="Rectangle: Rounded Corners 15">
          <a:extLst>
            <a:ext uri="{FF2B5EF4-FFF2-40B4-BE49-F238E27FC236}">
              <a16:creationId xmlns:a16="http://schemas.microsoft.com/office/drawing/2014/main" id="{58329D73-40E4-A70A-F4ED-DDB50E101371}"/>
            </a:ext>
          </a:extLst>
        </xdr:cNvPr>
        <xdr:cNvSpPr/>
      </xdr:nvSpPr>
      <xdr:spPr>
        <a:xfrm>
          <a:off x="9197340" y="1897380"/>
          <a:ext cx="3360420" cy="1859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167640</xdr:colOff>
      <xdr:row>17</xdr:row>
      <xdr:rowOff>129540</xdr:rowOff>
    </xdr:from>
    <xdr:to>
      <xdr:col>9</xdr:col>
      <xdr:colOff>579120</xdr:colOff>
      <xdr:row>26</xdr:row>
      <xdr:rowOff>68580</xdr:rowOff>
    </xdr:to>
    <xdr:sp macro="" textlink="">
      <xdr:nvSpPr>
        <xdr:cNvPr id="17" name="Rectangle: Rounded Corners 16">
          <a:extLst>
            <a:ext uri="{FF2B5EF4-FFF2-40B4-BE49-F238E27FC236}">
              <a16:creationId xmlns:a16="http://schemas.microsoft.com/office/drawing/2014/main" id="{C60436F3-9575-BFD0-9E5F-AC457DA9C996}"/>
            </a:ext>
          </a:extLst>
        </xdr:cNvPr>
        <xdr:cNvSpPr/>
      </xdr:nvSpPr>
      <xdr:spPr>
        <a:xfrm>
          <a:off x="1996440" y="4015740"/>
          <a:ext cx="4069080" cy="199644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REGION VS SUM OF</a:t>
          </a:r>
          <a:r>
            <a:rPr lang="en-IN" sz="1200" b="1" baseline="0"/>
            <a:t> QTY</a:t>
          </a:r>
          <a:endParaRPr lang="en-IN" sz="1200" b="1"/>
        </a:p>
      </xdr:txBody>
    </xdr:sp>
    <xdr:clientData/>
  </xdr:twoCellAnchor>
  <xdr:twoCellAnchor>
    <xdr:from>
      <xdr:col>10</xdr:col>
      <xdr:colOff>91440</xdr:colOff>
      <xdr:row>17</xdr:row>
      <xdr:rowOff>121920</xdr:rowOff>
    </xdr:from>
    <xdr:to>
      <xdr:col>17</xdr:col>
      <xdr:colOff>449580</xdr:colOff>
      <xdr:row>26</xdr:row>
      <xdr:rowOff>114300</xdr:rowOff>
    </xdr:to>
    <xdr:sp macro="" textlink="">
      <xdr:nvSpPr>
        <xdr:cNvPr id="18" name="Rectangle: Rounded Corners 17">
          <a:extLst>
            <a:ext uri="{FF2B5EF4-FFF2-40B4-BE49-F238E27FC236}">
              <a16:creationId xmlns:a16="http://schemas.microsoft.com/office/drawing/2014/main" id="{00ED914C-F562-B632-1946-3A88CC9E6EB7}"/>
            </a:ext>
          </a:extLst>
        </xdr:cNvPr>
        <xdr:cNvSpPr/>
      </xdr:nvSpPr>
      <xdr:spPr>
        <a:xfrm>
          <a:off x="6187440" y="4008120"/>
          <a:ext cx="4625340" cy="20497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SALESMAN VS SUM OF QTY</a:t>
          </a:r>
        </a:p>
      </xdr:txBody>
    </xdr:sp>
    <xdr:clientData/>
  </xdr:twoCellAnchor>
  <xdr:twoCellAnchor>
    <xdr:from>
      <xdr:col>0</xdr:col>
      <xdr:colOff>114300</xdr:colOff>
      <xdr:row>8</xdr:row>
      <xdr:rowOff>83820</xdr:rowOff>
    </xdr:from>
    <xdr:to>
      <xdr:col>2</xdr:col>
      <xdr:colOff>327660</xdr:colOff>
      <xdr:row>11</xdr:row>
      <xdr:rowOff>138545</xdr:rowOff>
    </xdr:to>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25095DB8-C969-DA57-4ADB-5F817F612D87}"/>
            </a:ext>
          </a:extLst>
        </xdr:cNvPr>
        <xdr:cNvSpPr/>
      </xdr:nvSpPr>
      <xdr:spPr>
        <a:xfrm>
          <a:off x="114300" y="1931093"/>
          <a:ext cx="1429481" cy="747452"/>
        </a:xfrm>
        <a:prstGeom prst="roundRect">
          <a:avLst/>
        </a:prstGeom>
        <a:solidFill>
          <a:schemeClr val="accent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rPr>
            <a:t>DASHBOARD</a:t>
          </a:r>
        </a:p>
      </xdr:txBody>
    </xdr:sp>
    <xdr:clientData/>
  </xdr:twoCellAnchor>
  <xdr:twoCellAnchor>
    <xdr:from>
      <xdr:col>0</xdr:col>
      <xdr:colOff>122074</xdr:colOff>
      <xdr:row>11</xdr:row>
      <xdr:rowOff>230679</xdr:rowOff>
    </xdr:from>
    <xdr:to>
      <xdr:col>2</xdr:col>
      <xdr:colOff>304954</xdr:colOff>
      <xdr:row>15</xdr:row>
      <xdr:rowOff>107759</xdr:rowOff>
    </xdr:to>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D3B20F74-0506-01C4-0DF4-C4186409C7E5}"/>
            </a:ext>
          </a:extLst>
        </xdr:cNvPr>
        <xdr:cNvSpPr/>
      </xdr:nvSpPr>
      <xdr:spPr>
        <a:xfrm>
          <a:off x="122074" y="2770679"/>
          <a:ext cx="1399001" cy="800716"/>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1"/>
              </a:solidFill>
            </a:rPr>
            <a:t>SALESMAN</a:t>
          </a:r>
        </a:p>
      </xdr:txBody>
    </xdr:sp>
    <xdr:clientData/>
  </xdr:twoCellAnchor>
  <xdr:twoCellAnchor>
    <xdr:from>
      <xdr:col>0</xdr:col>
      <xdr:colOff>121997</xdr:colOff>
      <xdr:row>15</xdr:row>
      <xdr:rowOff>190271</xdr:rowOff>
    </xdr:from>
    <xdr:to>
      <xdr:col>2</xdr:col>
      <xdr:colOff>320117</xdr:colOff>
      <xdr:row>19</xdr:row>
      <xdr:rowOff>23092</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674A4D33-182F-211F-78E0-D138D100CF52}"/>
            </a:ext>
          </a:extLst>
        </xdr:cNvPr>
        <xdr:cNvSpPr/>
      </xdr:nvSpPr>
      <xdr:spPr>
        <a:xfrm>
          <a:off x="121997" y="3653907"/>
          <a:ext cx="1414241" cy="75645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1"/>
              </a:solidFill>
            </a:rPr>
            <a:t>ITEMS</a:t>
          </a:r>
        </a:p>
      </xdr:txBody>
    </xdr:sp>
    <xdr:clientData/>
  </xdr:twoCellAnchor>
  <xdr:twoCellAnchor editAs="oneCell">
    <xdr:from>
      <xdr:col>0</xdr:col>
      <xdr:colOff>220980</xdr:colOff>
      <xdr:row>2</xdr:row>
      <xdr:rowOff>91440</xdr:rowOff>
    </xdr:from>
    <xdr:to>
      <xdr:col>2</xdr:col>
      <xdr:colOff>327660</xdr:colOff>
      <xdr:row>8</xdr:row>
      <xdr:rowOff>7621</xdr:rowOff>
    </xdr:to>
    <xdr:pic>
      <xdr:nvPicPr>
        <xdr:cNvPr id="22" name="Picture 21">
          <a:extLst>
            <a:ext uri="{FF2B5EF4-FFF2-40B4-BE49-F238E27FC236}">
              <a16:creationId xmlns:a16="http://schemas.microsoft.com/office/drawing/2014/main" id="{01BD5723-B718-F6B1-2255-4D86C957FCAF}"/>
            </a:ext>
          </a:extLst>
        </xdr:cNvPr>
        <xdr:cNvPicPr>
          <a:picLocks noChangeAspect="1"/>
        </xdr:cNvPicPr>
      </xdr:nvPicPr>
      <xdr:blipFill>
        <a:blip xmlns:r="http://schemas.openxmlformats.org/officeDocument/2006/relationships" r:embed="rId4"/>
        <a:stretch>
          <a:fillRect/>
        </a:stretch>
      </xdr:blipFill>
      <xdr:spPr>
        <a:xfrm>
          <a:off x="220980" y="548640"/>
          <a:ext cx="1325880" cy="1287781"/>
        </a:xfrm>
        <a:prstGeom prst="rect">
          <a:avLst/>
        </a:prstGeom>
        <a:ln>
          <a:noFill/>
        </a:ln>
      </xdr:spPr>
    </xdr:pic>
    <xdr:clientData/>
  </xdr:twoCellAnchor>
  <xdr:twoCellAnchor>
    <xdr:from>
      <xdr:col>17</xdr:col>
      <xdr:colOff>495300</xdr:colOff>
      <xdr:row>16</xdr:row>
      <xdr:rowOff>144780</xdr:rowOff>
    </xdr:from>
    <xdr:to>
      <xdr:col>20</xdr:col>
      <xdr:colOff>320040</xdr:colOff>
      <xdr:row>19</xdr:row>
      <xdr:rowOff>190500</xdr:rowOff>
    </xdr:to>
    <xdr:sp macro="" textlink="">
      <xdr:nvSpPr>
        <xdr:cNvPr id="23" name="Rectangle: Rounded Corners 22">
          <a:extLst>
            <a:ext uri="{FF2B5EF4-FFF2-40B4-BE49-F238E27FC236}">
              <a16:creationId xmlns:a16="http://schemas.microsoft.com/office/drawing/2014/main" id="{10C0B3E0-B652-24B5-091B-B92B92D543B2}"/>
            </a:ext>
          </a:extLst>
        </xdr:cNvPr>
        <xdr:cNvSpPr/>
      </xdr:nvSpPr>
      <xdr:spPr>
        <a:xfrm>
          <a:off x="10858500" y="3802380"/>
          <a:ext cx="1653540" cy="73152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b="1">
              <a:solidFill>
                <a:schemeClr val="tx1"/>
              </a:solidFill>
            </a:rPr>
            <a:t>TOTAL</a:t>
          </a:r>
          <a:r>
            <a:rPr lang="en-IN" sz="1000" b="1" baseline="0">
              <a:solidFill>
                <a:schemeClr val="tx1"/>
              </a:solidFill>
            </a:rPr>
            <a:t> AMOUNT</a:t>
          </a:r>
          <a:endParaRPr lang="en-IN" sz="1000" b="1">
            <a:solidFill>
              <a:schemeClr val="tx1"/>
            </a:solidFill>
          </a:endParaRPr>
        </a:p>
      </xdr:txBody>
    </xdr:sp>
    <xdr:clientData/>
  </xdr:twoCellAnchor>
  <xdr:twoCellAnchor>
    <xdr:from>
      <xdr:col>17</xdr:col>
      <xdr:colOff>480060</xdr:colOff>
      <xdr:row>20</xdr:row>
      <xdr:rowOff>15240</xdr:rowOff>
    </xdr:from>
    <xdr:to>
      <xdr:col>20</xdr:col>
      <xdr:colOff>335280</xdr:colOff>
      <xdr:row>23</xdr:row>
      <xdr:rowOff>53340</xdr:rowOff>
    </xdr:to>
    <xdr:sp macro="" textlink="">
      <xdr:nvSpPr>
        <xdr:cNvPr id="26" name="Rectangle: Rounded Corners 25">
          <a:extLst>
            <a:ext uri="{FF2B5EF4-FFF2-40B4-BE49-F238E27FC236}">
              <a16:creationId xmlns:a16="http://schemas.microsoft.com/office/drawing/2014/main" id="{7C5D5FDC-5F39-42E7-A9F3-6BB3DD8E7467}"/>
            </a:ext>
          </a:extLst>
        </xdr:cNvPr>
        <xdr:cNvSpPr/>
      </xdr:nvSpPr>
      <xdr:spPr>
        <a:xfrm>
          <a:off x="10843260" y="4587240"/>
          <a:ext cx="1684020" cy="7239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SALE</a:t>
          </a:r>
          <a:endParaRPr lang="en-IN" sz="1100" b="1">
            <a:solidFill>
              <a:schemeClr val="tx1"/>
            </a:solidFill>
          </a:endParaRPr>
        </a:p>
      </xdr:txBody>
    </xdr:sp>
    <xdr:clientData/>
  </xdr:twoCellAnchor>
  <xdr:twoCellAnchor>
    <xdr:from>
      <xdr:col>17</xdr:col>
      <xdr:colOff>495300</xdr:colOff>
      <xdr:row>23</xdr:row>
      <xdr:rowOff>76200</xdr:rowOff>
    </xdr:from>
    <xdr:to>
      <xdr:col>20</xdr:col>
      <xdr:colOff>342900</xdr:colOff>
      <xdr:row>26</xdr:row>
      <xdr:rowOff>152400</xdr:rowOff>
    </xdr:to>
    <xdr:sp macro="" textlink="">
      <xdr:nvSpPr>
        <xdr:cNvPr id="27" name="Rectangle: Rounded Corners 26">
          <a:extLst>
            <a:ext uri="{FF2B5EF4-FFF2-40B4-BE49-F238E27FC236}">
              <a16:creationId xmlns:a16="http://schemas.microsoft.com/office/drawing/2014/main" id="{BBD0460C-04E8-42F8-9E73-908AB4A0A9B9}"/>
            </a:ext>
          </a:extLst>
        </xdr:cNvPr>
        <xdr:cNvSpPr/>
      </xdr:nvSpPr>
      <xdr:spPr>
        <a:xfrm>
          <a:off x="10858500" y="5334000"/>
          <a:ext cx="1676400" cy="762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b="1"/>
            <a:t>TOTAL</a:t>
          </a:r>
          <a:r>
            <a:rPr lang="en-IN" sz="1000" b="1" baseline="0"/>
            <a:t> QUANTITY</a:t>
          </a:r>
        </a:p>
        <a:p>
          <a:pPr algn="l"/>
          <a:endParaRPr lang="en-IN" sz="1100"/>
        </a:p>
      </xdr:txBody>
    </xdr:sp>
    <xdr:clientData/>
  </xdr:twoCellAnchor>
  <xdr:twoCellAnchor>
    <xdr:from>
      <xdr:col>3</xdr:col>
      <xdr:colOff>0</xdr:colOff>
      <xdr:row>10</xdr:row>
      <xdr:rowOff>69273</xdr:rowOff>
    </xdr:from>
    <xdr:to>
      <xdr:col>8</xdr:col>
      <xdr:colOff>419100</xdr:colOff>
      <xdr:row>16</xdr:row>
      <xdr:rowOff>152400</xdr:rowOff>
    </xdr:to>
    <xdr:graphicFrame macro="">
      <xdr:nvGraphicFramePr>
        <xdr:cNvPr id="28" name="Chart 27">
          <a:extLst>
            <a:ext uri="{FF2B5EF4-FFF2-40B4-BE49-F238E27FC236}">
              <a16:creationId xmlns:a16="http://schemas.microsoft.com/office/drawing/2014/main" id="{270768B9-0F30-430E-9554-FFBA658AE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106680</xdr:colOff>
      <xdr:row>9</xdr:row>
      <xdr:rowOff>153939</xdr:rowOff>
    </xdr:from>
    <xdr:to>
      <xdr:col>14</xdr:col>
      <xdr:colOff>381000</xdr:colOff>
      <xdr:row>16</xdr:row>
      <xdr:rowOff>177030</xdr:rowOff>
    </xdr:to>
    <xdr:graphicFrame macro="">
      <xdr:nvGraphicFramePr>
        <xdr:cNvPr id="29" name="Chart 28">
          <a:extLst>
            <a:ext uri="{FF2B5EF4-FFF2-40B4-BE49-F238E27FC236}">
              <a16:creationId xmlns:a16="http://schemas.microsoft.com/office/drawing/2014/main" id="{160AD824-DB74-4F11-9BE7-1B66B1B88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259080</xdr:colOff>
      <xdr:row>19</xdr:row>
      <xdr:rowOff>61575</xdr:rowOff>
    </xdr:from>
    <xdr:to>
      <xdr:col>17</xdr:col>
      <xdr:colOff>312420</xdr:colOff>
      <xdr:row>26</xdr:row>
      <xdr:rowOff>15394</xdr:rowOff>
    </xdr:to>
    <xdr:graphicFrame macro="">
      <xdr:nvGraphicFramePr>
        <xdr:cNvPr id="30" name="Chart 29">
          <a:extLst>
            <a:ext uri="{FF2B5EF4-FFF2-40B4-BE49-F238E27FC236}">
              <a16:creationId xmlns:a16="http://schemas.microsoft.com/office/drawing/2014/main" id="{C653A2C3-DE12-41C2-B5FB-6539276E2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419331</xdr:colOff>
      <xdr:row>19</xdr:row>
      <xdr:rowOff>53879</xdr:rowOff>
    </xdr:from>
    <xdr:to>
      <xdr:col>9</xdr:col>
      <xdr:colOff>434571</xdr:colOff>
      <xdr:row>25</xdr:row>
      <xdr:rowOff>161637</xdr:rowOff>
    </xdr:to>
    <xdr:graphicFrame macro="">
      <xdr:nvGraphicFramePr>
        <xdr:cNvPr id="31" name="Chart 30">
          <a:extLst>
            <a:ext uri="{FF2B5EF4-FFF2-40B4-BE49-F238E27FC236}">
              <a16:creationId xmlns:a16="http://schemas.microsoft.com/office/drawing/2014/main" id="{0EA749B3-8F51-45BD-82F3-49CC50FE5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469516</xdr:colOff>
      <xdr:row>0</xdr:row>
      <xdr:rowOff>106680</xdr:rowOff>
    </xdr:from>
    <xdr:to>
      <xdr:col>11</xdr:col>
      <xdr:colOff>289561</xdr:colOff>
      <xdr:row>4</xdr:row>
      <xdr:rowOff>53340</xdr:rowOff>
    </xdr:to>
    <xdr:sp macro="" textlink="">
      <xdr:nvSpPr>
        <xdr:cNvPr id="32" name="Rectangle 31">
          <a:extLst>
            <a:ext uri="{FF2B5EF4-FFF2-40B4-BE49-F238E27FC236}">
              <a16:creationId xmlns:a16="http://schemas.microsoft.com/office/drawing/2014/main" id="{5B2A5ACB-F3BA-24EC-5B74-900B758E3F48}"/>
            </a:ext>
          </a:extLst>
        </xdr:cNvPr>
        <xdr:cNvSpPr/>
      </xdr:nvSpPr>
      <xdr:spPr>
        <a:xfrm>
          <a:off x="2293698" y="106680"/>
          <a:ext cx="4684530" cy="870296"/>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2400" b="1">
              <a:solidFill>
                <a:schemeClr val="tx1"/>
              </a:solidFill>
              <a:effectLst>
                <a:outerShdw blurRad="50800" dist="38100" dir="5400000" algn="t" rotWithShape="0">
                  <a:prstClr val="black">
                    <a:alpha val="40000"/>
                  </a:prstClr>
                </a:outerShdw>
                <a:reflection blurRad="6350" stA="60000" endA="900" endPos="58000" dir="5400000" sy="-100000" algn="bl" rotWithShape="0"/>
              </a:effectLst>
            </a:rPr>
            <a:t>SALES</a:t>
          </a:r>
          <a:r>
            <a:rPr lang="en-IN" sz="2400" b="1" baseline="0">
              <a:solidFill>
                <a:schemeClr val="tx1"/>
              </a:solidFill>
              <a:effectLst>
                <a:outerShdw blurRad="50800" dist="38100" dir="5400000" algn="t" rotWithShape="0">
                  <a:prstClr val="black">
                    <a:alpha val="40000"/>
                  </a:prstClr>
                </a:outerShdw>
                <a:reflection blurRad="6350" stA="60000" endA="900" endPos="58000" dir="5400000" sy="-100000" algn="bl" rotWithShape="0"/>
              </a:effectLst>
            </a:rPr>
            <a:t> DASHBOARD</a:t>
          </a:r>
          <a:endParaRPr lang="en-IN" sz="2400" b="1">
            <a:solidFill>
              <a:schemeClr val="tx1"/>
            </a:solidFill>
            <a:effectLst>
              <a:outerShdw blurRad="50800" dist="38100" dir="5400000" algn="t" rotWithShape="0">
                <a:prstClr val="black">
                  <a:alpha val="40000"/>
                </a:prstClr>
              </a:outerShdw>
              <a:reflection blurRad="6350" stA="60000" endA="900" endPos="58000" dir="5400000" sy="-100000" algn="bl" rotWithShape="0"/>
            </a:effectLst>
          </a:endParaRPr>
        </a:p>
      </xdr:txBody>
    </xdr:sp>
    <xdr:clientData/>
  </xdr:twoCellAnchor>
  <xdr:twoCellAnchor editAs="oneCell">
    <xdr:from>
      <xdr:col>9</xdr:col>
      <xdr:colOff>83820</xdr:colOff>
      <xdr:row>0</xdr:row>
      <xdr:rowOff>160020</xdr:rowOff>
    </xdr:from>
    <xdr:to>
      <xdr:col>11</xdr:col>
      <xdr:colOff>152400</xdr:colOff>
      <xdr:row>4</xdr:row>
      <xdr:rowOff>7620</xdr:rowOff>
    </xdr:to>
    <xdr:pic>
      <xdr:nvPicPr>
        <xdr:cNvPr id="34" name="Graphic 33" descr="Bar chart with solid fill">
          <a:extLst>
            <a:ext uri="{FF2B5EF4-FFF2-40B4-BE49-F238E27FC236}">
              <a16:creationId xmlns:a16="http://schemas.microsoft.com/office/drawing/2014/main" id="{2A7E48CB-84D3-88B5-3023-3E8135D9EB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70220" y="160020"/>
          <a:ext cx="1287780" cy="762000"/>
        </a:xfrm>
        <a:prstGeom prst="rect">
          <a:avLst/>
        </a:prstGeom>
      </xdr:spPr>
    </xdr:pic>
    <xdr:clientData/>
  </xdr:twoCellAnchor>
  <xdr:twoCellAnchor>
    <xdr:from>
      <xdr:col>15</xdr:col>
      <xdr:colOff>53340</xdr:colOff>
      <xdr:row>8</xdr:row>
      <xdr:rowOff>45720</xdr:rowOff>
    </xdr:from>
    <xdr:to>
      <xdr:col>20</xdr:col>
      <xdr:colOff>365760</xdr:colOff>
      <xdr:row>16</xdr:row>
      <xdr:rowOff>76200</xdr:rowOff>
    </xdr:to>
    <xdr:sp macro="" textlink="">
      <xdr:nvSpPr>
        <xdr:cNvPr id="35" name="Rectangle: Rounded Corners 34">
          <a:extLst>
            <a:ext uri="{FF2B5EF4-FFF2-40B4-BE49-F238E27FC236}">
              <a16:creationId xmlns:a16="http://schemas.microsoft.com/office/drawing/2014/main" id="{7A9B7741-21EF-536B-2A91-2FB210919A02}"/>
            </a:ext>
          </a:extLst>
        </xdr:cNvPr>
        <xdr:cNvSpPr/>
      </xdr:nvSpPr>
      <xdr:spPr>
        <a:xfrm>
          <a:off x="9197340" y="1874520"/>
          <a:ext cx="3360420" cy="1859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ITEM VS SUM</a:t>
          </a:r>
          <a:r>
            <a:rPr lang="en-IN" sz="1200" b="1" baseline="0"/>
            <a:t> OF QTY</a:t>
          </a:r>
          <a:endParaRPr lang="en-IN" sz="1200" b="1"/>
        </a:p>
      </xdr:txBody>
    </xdr:sp>
    <xdr:clientData/>
  </xdr:twoCellAnchor>
  <xdr:twoCellAnchor>
    <xdr:from>
      <xdr:col>15</xdr:col>
      <xdr:colOff>182880</xdr:colOff>
      <xdr:row>9</xdr:row>
      <xdr:rowOff>138544</xdr:rowOff>
    </xdr:from>
    <xdr:to>
      <xdr:col>20</xdr:col>
      <xdr:colOff>236220</xdr:colOff>
      <xdr:row>15</xdr:row>
      <xdr:rowOff>207817</xdr:rowOff>
    </xdr:to>
    <xdr:graphicFrame macro="">
      <xdr:nvGraphicFramePr>
        <xdr:cNvPr id="36" name="Chart 35">
          <a:extLst>
            <a:ext uri="{FF2B5EF4-FFF2-40B4-BE49-F238E27FC236}">
              <a16:creationId xmlns:a16="http://schemas.microsoft.com/office/drawing/2014/main" id="{0772D07E-D36B-48DF-992D-7240F1F43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548640</xdr:colOff>
      <xdr:row>17</xdr:row>
      <xdr:rowOff>129540</xdr:rowOff>
    </xdr:from>
    <xdr:to>
      <xdr:col>19</xdr:col>
      <xdr:colOff>274320</xdr:colOff>
      <xdr:row>19</xdr:row>
      <xdr:rowOff>76200</xdr:rowOff>
    </xdr:to>
    <xdr:sp macro="" textlink="Sheet6!B37">
      <xdr:nvSpPr>
        <xdr:cNvPr id="39" name="Rectangle: Rounded Corners 38">
          <a:extLst>
            <a:ext uri="{FF2B5EF4-FFF2-40B4-BE49-F238E27FC236}">
              <a16:creationId xmlns:a16="http://schemas.microsoft.com/office/drawing/2014/main" id="{EF9AA0F7-EE45-4838-ACD3-23A90138877D}"/>
            </a:ext>
          </a:extLst>
        </xdr:cNvPr>
        <xdr:cNvSpPr/>
      </xdr:nvSpPr>
      <xdr:spPr>
        <a:xfrm>
          <a:off x="10911840" y="4015740"/>
          <a:ext cx="944880" cy="4038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87EE7BC-789C-4E0E-89A8-1D96C6A0615B}" type="TxLink">
            <a:rPr lang="en-US" sz="1200" b="1" i="0" u="none" strike="noStrike">
              <a:ln>
                <a:noFill/>
              </a:ln>
              <a:solidFill>
                <a:srgbClr val="000000"/>
              </a:solidFill>
              <a:latin typeface="Gill Sans MT"/>
            </a:rPr>
            <a:pPr algn="l"/>
            <a:t>17,82,530</a:t>
          </a:fld>
          <a:endParaRPr lang="en-IN" sz="1050" b="1">
            <a:ln>
              <a:noFill/>
            </a:ln>
            <a:solidFill>
              <a:schemeClr val="tx1"/>
            </a:solidFill>
          </a:endParaRPr>
        </a:p>
      </xdr:txBody>
    </xdr:sp>
    <xdr:clientData/>
  </xdr:twoCellAnchor>
  <xdr:twoCellAnchor editAs="oneCell">
    <xdr:from>
      <xdr:col>20</xdr:col>
      <xdr:colOff>396240</xdr:colOff>
      <xdr:row>15</xdr:row>
      <xdr:rowOff>76200</xdr:rowOff>
    </xdr:from>
    <xdr:to>
      <xdr:col>23</xdr:col>
      <xdr:colOff>68580</xdr:colOff>
      <xdr:row>24</xdr:row>
      <xdr:rowOff>30788</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0A3FB44D-41FC-4B85-8CD2-DA5936E807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57452" y="3539836"/>
              <a:ext cx="1496522" cy="2001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556260</xdr:colOff>
      <xdr:row>20</xdr:row>
      <xdr:rowOff>220980</xdr:rowOff>
    </xdr:from>
    <xdr:to>
      <xdr:col>18</xdr:col>
      <xdr:colOff>533400</xdr:colOff>
      <xdr:row>22</xdr:row>
      <xdr:rowOff>190500</xdr:rowOff>
    </xdr:to>
    <xdr:sp macro="" textlink="Sheet6!$B$41">
      <xdr:nvSpPr>
        <xdr:cNvPr id="41" name="Rectangle: Rounded Corners 40">
          <a:extLst>
            <a:ext uri="{FF2B5EF4-FFF2-40B4-BE49-F238E27FC236}">
              <a16:creationId xmlns:a16="http://schemas.microsoft.com/office/drawing/2014/main" id="{D28CF41E-E5E2-4EAC-ADAA-D38687DB8A72}"/>
            </a:ext>
          </a:extLst>
        </xdr:cNvPr>
        <xdr:cNvSpPr/>
      </xdr:nvSpPr>
      <xdr:spPr>
        <a:xfrm>
          <a:off x="10919460" y="4792980"/>
          <a:ext cx="586740" cy="42672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E18F67A-11F4-4D90-B1BA-4CBD89099C81}" type="TxLink">
            <a:rPr lang="en-US" sz="1400" b="1" i="0" u="none" strike="noStrike">
              <a:ln>
                <a:noFill/>
              </a:ln>
              <a:solidFill>
                <a:schemeClr val="tx1"/>
              </a:solidFill>
              <a:latin typeface="Gill Sans MT"/>
            </a:rPr>
            <a:pPr algn="l"/>
            <a:t>366</a:t>
          </a:fld>
          <a:endParaRPr lang="en-IN" sz="1400" b="1">
            <a:ln>
              <a:noFill/>
            </a:ln>
            <a:solidFill>
              <a:schemeClr val="tx1"/>
            </a:solidFill>
          </a:endParaRPr>
        </a:p>
      </xdr:txBody>
    </xdr:sp>
    <xdr:clientData/>
  </xdr:twoCellAnchor>
  <xdr:twoCellAnchor>
    <xdr:from>
      <xdr:col>17</xdr:col>
      <xdr:colOff>541020</xdr:colOff>
      <xdr:row>24</xdr:row>
      <xdr:rowOff>106680</xdr:rowOff>
    </xdr:from>
    <xdr:to>
      <xdr:col>18</xdr:col>
      <xdr:colOff>594360</xdr:colOff>
      <xdr:row>25</xdr:row>
      <xdr:rowOff>220980</xdr:rowOff>
    </xdr:to>
    <xdr:sp macro="" textlink="Sheet6!$B$44">
      <xdr:nvSpPr>
        <xdr:cNvPr id="42" name="Rectangle: Rounded Corners 41">
          <a:extLst>
            <a:ext uri="{FF2B5EF4-FFF2-40B4-BE49-F238E27FC236}">
              <a16:creationId xmlns:a16="http://schemas.microsoft.com/office/drawing/2014/main" id="{9C16B3C3-7B9D-4D14-9B9E-1BE830E5D649}"/>
            </a:ext>
          </a:extLst>
        </xdr:cNvPr>
        <xdr:cNvSpPr/>
      </xdr:nvSpPr>
      <xdr:spPr>
        <a:xfrm>
          <a:off x="10904220" y="5593080"/>
          <a:ext cx="662940"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28E625EF-5234-43B0-95BA-40DDA0FFEDF0}" type="TxLink">
            <a:rPr lang="en-US" sz="1200" b="1" i="0" u="none" strike="noStrike">
              <a:solidFill>
                <a:schemeClr val="tx1"/>
              </a:solidFill>
              <a:latin typeface="Gill Sans MT"/>
            </a:rPr>
            <a:pPr algn="l"/>
            <a:t>1,607</a:t>
          </a:fld>
          <a:endParaRPr lang="en-IN" sz="1200" b="1">
            <a:solidFill>
              <a:schemeClr val="tx1"/>
            </a:solidFill>
          </a:endParaRPr>
        </a:p>
      </xdr:txBody>
    </xdr:sp>
    <xdr:clientData/>
  </xdr:twoCellAnchor>
  <xdr:twoCellAnchor editAs="oneCell">
    <xdr:from>
      <xdr:col>19</xdr:col>
      <xdr:colOff>220980</xdr:colOff>
      <xdr:row>17</xdr:row>
      <xdr:rowOff>144780</xdr:rowOff>
    </xdr:from>
    <xdr:to>
      <xdr:col>20</xdr:col>
      <xdr:colOff>259080</xdr:colOff>
      <xdr:row>19</xdr:row>
      <xdr:rowOff>152400</xdr:rowOff>
    </xdr:to>
    <xdr:pic>
      <xdr:nvPicPr>
        <xdr:cNvPr id="44" name="Graphic 43" descr="Bar chart with solid fill">
          <a:extLst>
            <a:ext uri="{FF2B5EF4-FFF2-40B4-BE49-F238E27FC236}">
              <a16:creationId xmlns:a16="http://schemas.microsoft.com/office/drawing/2014/main" id="{486FD019-4048-2BDF-43C4-1FCA1FD5F79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803380" y="4030980"/>
          <a:ext cx="647700" cy="464820"/>
        </a:xfrm>
        <a:prstGeom prst="rect">
          <a:avLst/>
        </a:prstGeom>
      </xdr:spPr>
    </xdr:pic>
    <xdr:clientData/>
  </xdr:twoCellAnchor>
  <xdr:twoCellAnchor editAs="oneCell">
    <xdr:from>
      <xdr:col>19</xdr:col>
      <xdr:colOff>99060</xdr:colOff>
      <xdr:row>21</xdr:row>
      <xdr:rowOff>7620</xdr:rowOff>
    </xdr:from>
    <xdr:to>
      <xdr:col>20</xdr:col>
      <xdr:colOff>236220</xdr:colOff>
      <xdr:row>23</xdr:row>
      <xdr:rowOff>15240</xdr:rowOff>
    </xdr:to>
    <xdr:pic>
      <xdr:nvPicPr>
        <xdr:cNvPr id="46" name="Graphic 45" descr="Money with solid fill">
          <a:extLst>
            <a:ext uri="{FF2B5EF4-FFF2-40B4-BE49-F238E27FC236}">
              <a16:creationId xmlns:a16="http://schemas.microsoft.com/office/drawing/2014/main" id="{79D0A53F-EDC7-50ED-C3C3-457649E7816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681460" y="4808220"/>
          <a:ext cx="746760" cy="464820"/>
        </a:xfrm>
        <a:prstGeom prst="rect">
          <a:avLst/>
        </a:prstGeom>
      </xdr:spPr>
    </xdr:pic>
    <xdr:clientData/>
  </xdr:twoCellAnchor>
  <xdr:twoCellAnchor editAs="oneCell">
    <xdr:from>
      <xdr:col>19</xdr:col>
      <xdr:colOff>91440</xdr:colOff>
      <xdr:row>24</xdr:row>
      <xdr:rowOff>68580</xdr:rowOff>
    </xdr:from>
    <xdr:to>
      <xdr:col>20</xdr:col>
      <xdr:colOff>228600</xdr:colOff>
      <xdr:row>26</xdr:row>
      <xdr:rowOff>137160</xdr:rowOff>
    </xdr:to>
    <xdr:pic>
      <xdr:nvPicPr>
        <xdr:cNvPr id="50" name="Graphic 49" descr="Books on shelf with solid fill">
          <a:extLst>
            <a:ext uri="{FF2B5EF4-FFF2-40B4-BE49-F238E27FC236}">
              <a16:creationId xmlns:a16="http://schemas.microsoft.com/office/drawing/2014/main" id="{DE7464AE-2EED-87ED-FEFC-20184044FF2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673840" y="5554980"/>
          <a:ext cx="746760" cy="525780"/>
        </a:xfrm>
        <a:prstGeom prst="rect">
          <a:avLst/>
        </a:prstGeom>
      </xdr:spPr>
    </xdr:pic>
    <xdr:clientData/>
  </xdr:twoCellAnchor>
  <xdr:twoCellAnchor>
    <xdr:from>
      <xdr:col>0</xdr:col>
      <xdr:colOff>130848</xdr:colOff>
      <xdr:row>19</xdr:row>
      <xdr:rowOff>200121</xdr:rowOff>
    </xdr:from>
    <xdr:to>
      <xdr:col>2</xdr:col>
      <xdr:colOff>323273</xdr:colOff>
      <xdr:row>23</xdr:row>
      <xdr:rowOff>69273</xdr:rowOff>
    </xdr:to>
    <xdr:sp macro="" textlink="">
      <xdr:nvSpPr>
        <xdr:cNvPr id="4" name="Rectangle: Rounded Corners 3">
          <a:hlinkClick xmlns:r="http://schemas.openxmlformats.org/officeDocument/2006/relationships" r:id="rId16"/>
          <a:extLst>
            <a:ext uri="{FF2B5EF4-FFF2-40B4-BE49-F238E27FC236}">
              <a16:creationId xmlns:a16="http://schemas.microsoft.com/office/drawing/2014/main" id="{7BDFB6B8-AEFC-70B2-1989-34AF9E3738EC}"/>
            </a:ext>
          </a:extLst>
        </xdr:cNvPr>
        <xdr:cNvSpPr/>
      </xdr:nvSpPr>
      <xdr:spPr>
        <a:xfrm>
          <a:off x="130848" y="4587394"/>
          <a:ext cx="1408546" cy="79278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ABOUT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0</xdr:row>
      <xdr:rowOff>22860</xdr:rowOff>
    </xdr:from>
    <xdr:to>
      <xdr:col>23</xdr:col>
      <xdr:colOff>152400</xdr:colOff>
      <xdr:row>28</xdr:row>
      <xdr:rowOff>153939</xdr:rowOff>
    </xdr:to>
    <xdr:sp macro="" textlink="">
      <xdr:nvSpPr>
        <xdr:cNvPr id="2" name="Rectangle: Rounded Corners 1">
          <a:extLst>
            <a:ext uri="{FF2B5EF4-FFF2-40B4-BE49-F238E27FC236}">
              <a16:creationId xmlns:a16="http://schemas.microsoft.com/office/drawing/2014/main" id="{A417E942-C63B-47EF-BDA2-9BF20CBABE22}"/>
            </a:ext>
          </a:extLst>
        </xdr:cNvPr>
        <xdr:cNvSpPr/>
      </xdr:nvSpPr>
      <xdr:spPr>
        <a:xfrm>
          <a:off x="60960" y="22860"/>
          <a:ext cx="14076834" cy="6596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0</xdr:row>
      <xdr:rowOff>15240</xdr:rowOff>
    </xdr:from>
    <xdr:to>
      <xdr:col>23</xdr:col>
      <xdr:colOff>205740</xdr:colOff>
      <xdr:row>28</xdr:row>
      <xdr:rowOff>153939</xdr:rowOff>
    </xdr:to>
    <xdr:sp macro="" textlink="">
      <xdr:nvSpPr>
        <xdr:cNvPr id="3" name="Rectangle: Rounded Corners 2">
          <a:extLst>
            <a:ext uri="{FF2B5EF4-FFF2-40B4-BE49-F238E27FC236}">
              <a16:creationId xmlns:a16="http://schemas.microsoft.com/office/drawing/2014/main" id="{71C5ACDA-8DC5-4E6F-8596-2156BEA161F6}"/>
            </a:ext>
          </a:extLst>
        </xdr:cNvPr>
        <xdr:cNvSpPr/>
      </xdr:nvSpPr>
      <xdr:spPr>
        <a:xfrm>
          <a:off x="1665701" y="15240"/>
          <a:ext cx="12525433" cy="6604154"/>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381000</xdr:colOff>
      <xdr:row>0</xdr:row>
      <xdr:rowOff>83820</xdr:rowOff>
    </xdr:from>
    <xdr:to>
      <xdr:col>21</xdr:col>
      <xdr:colOff>548640</xdr:colOff>
      <xdr:row>4</xdr:row>
      <xdr:rowOff>91440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EB6AF15E-F573-4535-BED1-99F2F06AED0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086600" y="83820"/>
              <a:ext cx="626364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396163</xdr:colOff>
      <xdr:row>4</xdr:row>
      <xdr:rowOff>175489</xdr:rowOff>
    </xdr:from>
    <xdr:to>
      <xdr:col>23</xdr:col>
      <xdr:colOff>38189</xdr:colOff>
      <xdr:row>15</xdr:row>
      <xdr:rowOff>76431</xdr:rowOff>
    </xdr:to>
    <mc:AlternateContent xmlns:mc="http://schemas.openxmlformats.org/markup-compatibility/2006" xmlns:a14="http://schemas.microsoft.com/office/drawing/2010/main">
      <mc:Choice Requires="a14">
        <xdr:graphicFrame macro="">
          <xdr:nvGraphicFramePr>
            <xdr:cNvPr id="5" name="Salesman 2">
              <a:extLst>
                <a:ext uri="{FF2B5EF4-FFF2-40B4-BE49-F238E27FC236}">
                  <a16:creationId xmlns:a16="http://schemas.microsoft.com/office/drawing/2014/main" id="{29360C3D-790A-4A5A-BBC5-FE48F2CAD0E2}"/>
                </a:ext>
              </a:extLst>
            </xdr:cNvPr>
            <xdr:cNvGraphicFramePr/>
          </xdr:nvGraphicFramePr>
          <xdr:xfrm>
            <a:off x="0" y="0"/>
            <a:ext cx="0" cy="0"/>
          </xdr:xfrm>
          <a:graphic>
            <a:graphicData uri="http://schemas.microsoft.com/office/drawing/2010/slicer">
              <sle:slicer xmlns:sle="http://schemas.microsoft.com/office/drawing/2010/slicer" name="Salesman 2"/>
            </a:graphicData>
          </a:graphic>
        </xdr:graphicFrame>
      </mc:Choice>
      <mc:Fallback xmlns="">
        <xdr:sp macro="" textlink="">
          <xdr:nvSpPr>
            <xdr:cNvPr id="0" name=""/>
            <xdr:cNvSpPr>
              <a:spLocks noTextEdit="1"/>
            </xdr:cNvSpPr>
          </xdr:nvSpPr>
          <xdr:spPr>
            <a:xfrm>
              <a:off x="12557375" y="1099125"/>
              <a:ext cx="1466208" cy="2440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4</xdr:row>
      <xdr:rowOff>106680</xdr:rowOff>
    </xdr:from>
    <xdr:to>
      <xdr:col>20</xdr:col>
      <xdr:colOff>350520</xdr:colOff>
      <xdr:row>7</xdr:row>
      <xdr:rowOff>213359</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6A7DC86C-4FCF-4CAD-A500-D170F131973C}"/>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661160" y="1021080"/>
              <a:ext cx="10881360" cy="79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8</xdr:row>
      <xdr:rowOff>60960</xdr:rowOff>
    </xdr:from>
    <xdr:to>
      <xdr:col>9</xdr:col>
      <xdr:colOff>434340</xdr:colOff>
      <xdr:row>17</xdr:row>
      <xdr:rowOff>0</xdr:rowOff>
    </xdr:to>
    <xdr:sp macro="" textlink="">
      <xdr:nvSpPr>
        <xdr:cNvPr id="7" name="Rectangle: Rounded Corners 6">
          <a:extLst>
            <a:ext uri="{FF2B5EF4-FFF2-40B4-BE49-F238E27FC236}">
              <a16:creationId xmlns:a16="http://schemas.microsoft.com/office/drawing/2014/main" id="{A7993D44-D6EB-410E-88BC-3297C63F97D4}"/>
            </a:ext>
          </a:extLst>
        </xdr:cNvPr>
        <xdr:cNvSpPr/>
      </xdr:nvSpPr>
      <xdr:spPr>
        <a:xfrm>
          <a:off x="1737360" y="1889760"/>
          <a:ext cx="4183380" cy="199644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TOP</a:t>
          </a:r>
          <a:r>
            <a:rPr lang="en-IN" sz="1200" b="1" baseline="0"/>
            <a:t> 4 PERFORMING SALESMAN</a:t>
          </a:r>
          <a:endParaRPr lang="en-IN" sz="1200" b="1"/>
        </a:p>
      </xdr:txBody>
    </xdr:sp>
    <xdr:clientData/>
  </xdr:twoCellAnchor>
  <xdr:twoCellAnchor>
    <xdr:from>
      <xdr:col>9</xdr:col>
      <xdr:colOff>487680</xdr:colOff>
      <xdr:row>8</xdr:row>
      <xdr:rowOff>60960</xdr:rowOff>
    </xdr:from>
    <xdr:to>
      <xdr:col>16</xdr:col>
      <xdr:colOff>284788</xdr:colOff>
      <xdr:row>16</xdr:row>
      <xdr:rowOff>198120</xdr:rowOff>
    </xdr:to>
    <xdr:sp macro="" textlink="">
      <xdr:nvSpPr>
        <xdr:cNvPr id="8" name="Rectangle: Rounded Corners 7">
          <a:extLst>
            <a:ext uri="{FF2B5EF4-FFF2-40B4-BE49-F238E27FC236}">
              <a16:creationId xmlns:a16="http://schemas.microsoft.com/office/drawing/2014/main" id="{FD1F9F7A-3768-40B4-82D6-80A2D9B86188}"/>
            </a:ext>
          </a:extLst>
        </xdr:cNvPr>
        <xdr:cNvSpPr/>
      </xdr:nvSpPr>
      <xdr:spPr>
        <a:xfrm>
          <a:off x="5960225" y="1908233"/>
          <a:ext cx="4053533" cy="1984432"/>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LESS 3 PERFORMING</a:t>
          </a:r>
          <a:r>
            <a:rPr lang="en-IN" sz="1200" b="1" baseline="0"/>
            <a:t> SALESMAN </a:t>
          </a:r>
          <a:endParaRPr lang="en-IN" sz="1200" b="1"/>
        </a:p>
      </xdr:txBody>
    </xdr:sp>
    <xdr:clientData/>
  </xdr:twoCellAnchor>
  <xdr:twoCellAnchor>
    <xdr:from>
      <xdr:col>5</xdr:col>
      <xdr:colOff>556260</xdr:colOff>
      <xdr:row>17</xdr:row>
      <xdr:rowOff>38100</xdr:rowOff>
    </xdr:from>
    <xdr:to>
      <xdr:col>14</xdr:col>
      <xdr:colOff>38100</xdr:colOff>
      <xdr:row>26</xdr:row>
      <xdr:rowOff>129540</xdr:rowOff>
    </xdr:to>
    <xdr:sp macro="" textlink="">
      <xdr:nvSpPr>
        <xdr:cNvPr id="11" name="Rectangle: Rounded Corners 10">
          <a:extLst>
            <a:ext uri="{FF2B5EF4-FFF2-40B4-BE49-F238E27FC236}">
              <a16:creationId xmlns:a16="http://schemas.microsoft.com/office/drawing/2014/main" id="{E2BB7504-ED71-4E89-AE42-BA714EA2BB11}"/>
            </a:ext>
          </a:extLst>
        </xdr:cNvPr>
        <xdr:cNvSpPr/>
      </xdr:nvSpPr>
      <xdr:spPr>
        <a:xfrm>
          <a:off x="3604260" y="3924300"/>
          <a:ext cx="4968240" cy="214884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SALESMAN</a:t>
          </a:r>
          <a:r>
            <a:rPr lang="en-IN" sz="1200" b="1" baseline="0"/>
            <a:t> VS SUM OF QTY</a:t>
          </a:r>
          <a:endParaRPr lang="en-IN" sz="1200" b="1"/>
        </a:p>
      </xdr:txBody>
    </xdr:sp>
    <xdr:clientData/>
  </xdr:twoCellAnchor>
  <xdr:twoCellAnchor>
    <xdr:from>
      <xdr:col>0</xdr:col>
      <xdr:colOff>129540</xdr:colOff>
      <xdr:row>8</xdr:row>
      <xdr:rowOff>99060</xdr:rowOff>
    </xdr:from>
    <xdr:to>
      <xdr:col>2</xdr:col>
      <xdr:colOff>342900</xdr:colOff>
      <xdr:row>11</xdr:row>
      <xdr:rowOff>200121</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E6C2BB8C-F37A-4616-B232-23C4E4011D14}"/>
            </a:ext>
          </a:extLst>
        </xdr:cNvPr>
        <xdr:cNvSpPr/>
      </xdr:nvSpPr>
      <xdr:spPr>
        <a:xfrm>
          <a:off x="129540" y="1946333"/>
          <a:ext cx="1429481" cy="79378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effectLst>
                <a:outerShdw blurRad="50800" dist="38100" dir="2700000" algn="tl" rotWithShape="0">
                  <a:prstClr val="black">
                    <a:alpha val="40000"/>
                  </a:prstClr>
                </a:outerShdw>
                <a:reflection blurRad="6350" stA="55000" endA="50" endPos="85000" dist="29997" dir="5400000" sy="-100000" algn="bl" rotWithShape="0"/>
              </a:effectLst>
            </a:rPr>
            <a:t>DASHBOARD</a:t>
          </a:r>
        </a:p>
      </xdr:txBody>
    </xdr:sp>
    <xdr:clientData/>
  </xdr:twoCellAnchor>
  <xdr:twoCellAnchor>
    <xdr:from>
      <xdr:col>0</xdr:col>
      <xdr:colOff>122074</xdr:colOff>
      <xdr:row>12</xdr:row>
      <xdr:rowOff>69042</xdr:rowOff>
    </xdr:from>
    <xdr:to>
      <xdr:col>2</xdr:col>
      <xdr:colOff>304954</xdr:colOff>
      <xdr:row>15</xdr:row>
      <xdr:rowOff>184728</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A4D91C1F-AE58-4E4E-8D9F-1F951F0A9472}"/>
            </a:ext>
          </a:extLst>
        </xdr:cNvPr>
        <xdr:cNvSpPr/>
      </xdr:nvSpPr>
      <xdr:spPr>
        <a:xfrm>
          <a:off x="122074" y="2839951"/>
          <a:ext cx="1399001" cy="808413"/>
        </a:xfrm>
        <a:prstGeom prst="roundRect">
          <a:avLst/>
        </a:prstGeom>
        <a:solidFill>
          <a:schemeClr val="accent3">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1"/>
              </a:solidFill>
              <a:effectLst>
                <a:outerShdw blurRad="50800" dist="38100" dir="2700000" algn="tl" rotWithShape="0">
                  <a:prstClr val="black">
                    <a:alpha val="40000"/>
                  </a:prstClr>
                </a:outerShdw>
                <a:reflection blurRad="6350" stA="55000" endA="50" endPos="85000" dir="5400000" sy="-100000" algn="bl" rotWithShape="0"/>
              </a:effectLst>
            </a:rPr>
            <a:t>SALESMAN</a:t>
          </a:r>
        </a:p>
      </xdr:txBody>
    </xdr:sp>
    <xdr:clientData/>
  </xdr:twoCellAnchor>
  <xdr:twoCellAnchor>
    <xdr:from>
      <xdr:col>0</xdr:col>
      <xdr:colOff>129694</xdr:colOff>
      <xdr:row>16</xdr:row>
      <xdr:rowOff>51724</xdr:rowOff>
    </xdr:from>
    <xdr:to>
      <xdr:col>2</xdr:col>
      <xdr:colOff>327814</xdr:colOff>
      <xdr:row>19</xdr:row>
      <xdr:rowOff>169333</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BE3FE8A1-281D-4729-B491-1B7422EF5605}"/>
            </a:ext>
          </a:extLst>
        </xdr:cNvPr>
        <xdr:cNvSpPr/>
      </xdr:nvSpPr>
      <xdr:spPr>
        <a:xfrm>
          <a:off x="129694" y="3746269"/>
          <a:ext cx="1414241" cy="81033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1"/>
              </a:solidFill>
              <a:effectLst>
                <a:outerShdw blurRad="50800" dist="38100" dir="5400000" algn="t" rotWithShape="0">
                  <a:prstClr val="black">
                    <a:alpha val="40000"/>
                  </a:prstClr>
                </a:outerShdw>
                <a:reflection blurRad="6350" stA="55000" endA="50" endPos="85000" dist="29997" dir="5400000" sy="-100000" algn="bl" rotWithShape="0"/>
              </a:effectLst>
            </a:rPr>
            <a:t>ITEMS</a:t>
          </a:r>
        </a:p>
      </xdr:txBody>
    </xdr:sp>
    <xdr:clientData/>
  </xdr:twoCellAnchor>
  <xdr:twoCellAnchor editAs="oneCell">
    <xdr:from>
      <xdr:col>0</xdr:col>
      <xdr:colOff>220980</xdr:colOff>
      <xdr:row>2</xdr:row>
      <xdr:rowOff>91440</xdr:rowOff>
    </xdr:from>
    <xdr:to>
      <xdr:col>2</xdr:col>
      <xdr:colOff>327660</xdr:colOff>
      <xdr:row>8</xdr:row>
      <xdr:rowOff>7621</xdr:rowOff>
    </xdr:to>
    <xdr:pic>
      <xdr:nvPicPr>
        <xdr:cNvPr id="15" name="Picture 14">
          <a:extLst>
            <a:ext uri="{FF2B5EF4-FFF2-40B4-BE49-F238E27FC236}">
              <a16:creationId xmlns:a16="http://schemas.microsoft.com/office/drawing/2014/main" id="{B048613C-9CBC-4F92-9309-A3DBCA9C53EE}"/>
            </a:ext>
          </a:extLst>
        </xdr:cNvPr>
        <xdr:cNvPicPr>
          <a:picLocks noChangeAspect="1"/>
        </xdr:cNvPicPr>
      </xdr:nvPicPr>
      <xdr:blipFill>
        <a:blip xmlns:r="http://schemas.openxmlformats.org/officeDocument/2006/relationships" r:embed="rId4"/>
        <a:stretch>
          <a:fillRect/>
        </a:stretch>
      </xdr:blipFill>
      <xdr:spPr>
        <a:xfrm>
          <a:off x="220980" y="548640"/>
          <a:ext cx="1325880" cy="1287781"/>
        </a:xfrm>
        <a:prstGeom prst="rect">
          <a:avLst/>
        </a:prstGeom>
        <a:ln>
          <a:noFill/>
        </a:ln>
      </xdr:spPr>
    </xdr:pic>
    <xdr:clientData/>
  </xdr:twoCellAnchor>
  <xdr:twoCellAnchor>
    <xdr:from>
      <xdr:col>17</xdr:col>
      <xdr:colOff>284788</xdr:colOff>
      <xdr:row>16</xdr:row>
      <xdr:rowOff>144780</xdr:rowOff>
    </xdr:from>
    <xdr:to>
      <xdr:col>20</xdr:col>
      <xdr:colOff>320040</xdr:colOff>
      <xdr:row>19</xdr:row>
      <xdr:rowOff>190500</xdr:rowOff>
    </xdr:to>
    <xdr:sp macro="" textlink="">
      <xdr:nvSpPr>
        <xdr:cNvPr id="16" name="Rectangle: Rounded Corners 15">
          <a:extLst>
            <a:ext uri="{FF2B5EF4-FFF2-40B4-BE49-F238E27FC236}">
              <a16:creationId xmlns:a16="http://schemas.microsoft.com/office/drawing/2014/main" id="{87FF1B95-7B50-4534-B253-D27B7927FE9C}"/>
            </a:ext>
          </a:extLst>
        </xdr:cNvPr>
        <xdr:cNvSpPr/>
      </xdr:nvSpPr>
      <xdr:spPr>
        <a:xfrm>
          <a:off x="10621818" y="3839325"/>
          <a:ext cx="1859434" cy="73844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b="1">
              <a:solidFill>
                <a:schemeClr val="tx1"/>
              </a:solidFill>
            </a:rPr>
            <a:t>TOTAL</a:t>
          </a:r>
          <a:r>
            <a:rPr lang="en-IN" sz="1000" b="1" baseline="0">
              <a:solidFill>
                <a:schemeClr val="tx1"/>
              </a:solidFill>
            </a:rPr>
            <a:t> AMOUNT</a:t>
          </a:r>
          <a:endParaRPr lang="en-IN" sz="1000" b="1">
            <a:solidFill>
              <a:schemeClr val="tx1"/>
            </a:solidFill>
          </a:endParaRPr>
        </a:p>
      </xdr:txBody>
    </xdr:sp>
    <xdr:clientData/>
  </xdr:twoCellAnchor>
  <xdr:twoCellAnchor>
    <xdr:from>
      <xdr:col>17</xdr:col>
      <xdr:colOff>300183</xdr:colOff>
      <xdr:row>19</xdr:row>
      <xdr:rowOff>215362</xdr:rowOff>
    </xdr:from>
    <xdr:to>
      <xdr:col>20</xdr:col>
      <xdr:colOff>319887</xdr:colOff>
      <xdr:row>23</xdr:row>
      <xdr:rowOff>22553</xdr:rowOff>
    </xdr:to>
    <xdr:sp macro="" textlink="">
      <xdr:nvSpPr>
        <xdr:cNvPr id="17" name="Rectangle: Rounded Corners 16">
          <a:extLst>
            <a:ext uri="{FF2B5EF4-FFF2-40B4-BE49-F238E27FC236}">
              <a16:creationId xmlns:a16="http://schemas.microsoft.com/office/drawing/2014/main" id="{34492ADA-AE0E-4C17-92AD-BCD8045AA374}"/>
            </a:ext>
          </a:extLst>
        </xdr:cNvPr>
        <xdr:cNvSpPr/>
      </xdr:nvSpPr>
      <xdr:spPr>
        <a:xfrm>
          <a:off x="10637213" y="4602635"/>
          <a:ext cx="1843886" cy="73082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SALE</a:t>
          </a:r>
          <a:endParaRPr lang="en-IN" sz="1100" b="1">
            <a:solidFill>
              <a:schemeClr val="tx1"/>
            </a:solidFill>
          </a:endParaRPr>
        </a:p>
      </xdr:txBody>
    </xdr:sp>
    <xdr:clientData/>
  </xdr:twoCellAnchor>
  <xdr:twoCellAnchor>
    <xdr:from>
      <xdr:col>17</xdr:col>
      <xdr:colOff>315576</xdr:colOff>
      <xdr:row>23</xdr:row>
      <xdr:rowOff>76200</xdr:rowOff>
    </xdr:from>
    <xdr:to>
      <xdr:col>20</xdr:col>
      <xdr:colOff>342900</xdr:colOff>
      <xdr:row>26</xdr:row>
      <xdr:rowOff>152400</xdr:rowOff>
    </xdr:to>
    <xdr:sp macro="" textlink="">
      <xdr:nvSpPr>
        <xdr:cNvPr id="18" name="Rectangle: Rounded Corners 17">
          <a:extLst>
            <a:ext uri="{FF2B5EF4-FFF2-40B4-BE49-F238E27FC236}">
              <a16:creationId xmlns:a16="http://schemas.microsoft.com/office/drawing/2014/main" id="{C5A2DD9D-FFAC-4CCE-B0FD-7FC5C8AB93E9}"/>
            </a:ext>
          </a:extLst>
        </xdr:cNvPr>
        <xdr:cNvSpPr/>
      </xdr:nvSpPr>
      <xdr:spPr>
        <a:xfrm>
          <a:off x="10652606" y="5387109"/>
          <a:ext cx="1851506" cy="76892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b="1"/>
            <a:t>TOTAL</a:t>
          </a:r>
          <a:r>
            <a:rPr lang="en-IN" sz="1000" b="1" baseline="0"/>
            <a:t> QUANTITY</a:t>
          </a:r>
        </a:p>
        <a:p>
          <a:pPr algn="l"/>
          <a:endParaRPr lang="en-IN" sz="1100"/>
        </a:p>
      </xdr:txBody>
    </xdr:sp>
    <xdr:clientData/>
  </xdr:twoCellAnchor>
  <xdr:twoCellAnchor>
    <xdr:from>
      <xdr:col>3</xdr:col>
      <xdr:colOff>487680</xdr:colOff>
      <xdr:row>0</xdr:row>
      <xdr:rowOff>106680</xdr:rowOff>
    </xdr:from>
    <xdr:to>
      <xdr:col>11</xdr:col>
      <xdr:colOff>289560</xdr:colOff>
      <xdr:row>4</xdr:row>
      <xdr:rowOff>53340</xdr:rowOff>
    </xdr:to>
    <xdr:sp macro="" textlink="">
      <xdr:nvSpPr>
        <xdr:cNvPr id="23" name="Rectangle 22">
          <a:extLst>
            <a:ext uri="{FF2B5EF4-FFF2-40B4-BE49-F238E27FC236}">
              <a16:creationId xmlns:a16="http://schemas.microsoft.com/office/drawing/2014/main" id="{998BCDE1-6401-4804-B0F9-F0CCF33AE462}"/>
            </a:ext>
          </a:extLst>
        </xdr:cNvPr>
        <xdr:cNvSpPr/>
      </xdr:nvSpPr>
      <xdr:spPr>
        <a:xfrm>
          <a:off x="2316480" y="106680"/>
          <a:ext cx="4678680" cy="86106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2400" b="1">
              <a:solidFill>
                <a:schemeClr val="tx1"/>
              </a:solidFill>
              <a:effectLst>
                <a:outerShdw blurRad="50800" dist="38100" dir="2700000" algn="tl" rotWithShape="0">
                  <a:prstClr val="black">
                    <a:alpha val="40000"/>
                  </a:prstClr>
                </a:outerShdw>
                <a:reflection blurRad="6350" stA="60000" endA="900" endPos="58000" dir="5400000" sy="-100000" algn="bl" rotWithShape="0"/>
              </a:effectLst>
            </a:rPr>
            <a:t>SALES</a:t>
          </a:r>
          <a:r>
            <a:rPr lang="en-IN" sz="2400" b="1" baseline="0">
              <a:solidFill>
                <a:schemeClr val="tx1"/>
              </a:solidFill>
              <a:effectLst>
                <a:outerShdw blurRad="50800" dist="38100" dir="2700000" algn="tl" rotWithShape="0">
                  <a:prstClr val="black">
                    <a:alpha val="40000"/>
                  </a:prstClr>
                </a:outerShdw>
                <a:reflection blurRad="6350" stA="60000" endA="900" endPos="58000" dir="5400000" sy="-100000" algn="bl" rotWithShape="0"/>
              </a:effectLst>
            </a:rPr>
            <a:t> DASHBOARD</a:t>
          </a:r>
          <a:endParaRPr lang="en-IN" sz="2400" b="1">
            <a:solidFill>
              <a:schemeClr val="tx1"/>
            </a:solidFill>
            <a:effectLst>
              <a:outerShdw blurRad="50800" dist="38100" dir="2700000" algn="tl" rotWithShape="0">
                <a:prstClr val="black">
                  <a:alpha val="40000"/>
                </a:prstClr>
              </a:outerShdw>
              <a:reflection blurRad="6350" stA="60000" endA="900" endPos="58000" dir="5400000" sy="-100000" algn="bl" rotWithShape="0"/>
            </a:effectLst>
          </a:endParaRPr>
        </a:p>
      </xdr:txBody>
    </xdr:sp>
    <xdr:clientData/>
  </xdr:twoCellAnchor>
  <xdr:twoCellAnchor editAs="oneCell">
    <xdr:from>
      <xdr:col>9</xdr:col>
      <xdr:colOff>83820</xdr:colOff>
      <xdr:row>0</xdr:row>
      <xdr:rowOff>160020</xdr:rowOff>
    </xdr:from>
    <xdr:to>
      <xdr:col>11</xdr:col>
      <xdr:colOff>152400</xdr:colOff>
      <xdr:row>4</xdr:row>
      <xdr:rowOff>7620</xdr:rowOff>
    </xdr:to>
    <xdr:pic>
      <xdr:nvPicPr>
        <xdr:cNvPr id="24" name="Graphic 23" descr="Bar chart with solid fill">
          <a:extLst>
            <a:ext uri="{FF2B5EF4-FFF2-40B4-BE49-F238E27FC236}">
              <a16:creationId xmlns:a16="http://schemas.microsoft.com/office/drawing/2014/main" id="{4E0EE9D7-4BC2-4E1E-9898-FA491D43B1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70220" y="160020"/>
          <a:ext cx="1287780" cy="762000"/>
        </a:xfrm>
        <a:prstGeom prst="rect">
          <a:avLst/>
        </a:prstGeom>
      </xdr:spPr>
    </xdr:pic>
    <xdr:clientData/>
  </xdr:twoCellAnchor>
  <xdr:twoCellAnchor>
    <xdr:from>
      <xdr:col>17</xdr:col>
      <xdr:colOff>548640</xdr:colOff>
      <xdr:row>17</xdr:row>
      <xdr:rowOff>129540</xdr:rowOff>
    </xdr:from>
    <xdr:to>
      <xdr:col>19</xdr:col>
      <xdr:colOff>274320</xdr:colOff>
      <xdr:row>19</xdr:row>
      <xdr:rowOff>76200</xdr:rowOff>
    </xdr:to>
    <xdr:sp macro="" textlink="Sheet6!B37">
      <xdr:nvSpPr>
        <xdr:cNvPr id="27" name="Rectangle: Rounded Corners 26">
          <a:extLst>
            <a:ext uri="{FF2B5EF4-FFF2-40B4-BE49-F238E27FC236}">
              <a16:creationId xmlns:a16="http://schemas.microsoft.com/office/drawing/2014/main" id="{3CC2C37E-933B-46AC-BDD2-E1B0E925F4B6}"/>
            </a:ext>
          </a:extLst>
        </xdr:cNvPr>
        <xdr:cNvSpPr/>
      </xdr:nvSpPr>
      <xdr:spPr>
        <a:xfrm>
          <a:off x="10911840" y="4015740"/>
          <a:ext cx="944880" cy="4038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87EE7BC-789C-4E0E-89A8-1D96C6A0615B}" type="TxLink">
            <a:rPr lang="en-US" sz="1200" b="1" i="0" u="none" strike="noStrike">
              <a:ln>
                <a:noFill/>
              </a:ln>
              <a:solidFill>
                <a:srgbClr val="000000"/>
              </a:solidFill>
              <a:latin typeface="Gill Sans MT"/>
            </a:rPr>
            <a:pPr algn="l"/>
            <a:t>17,82,530</a:t>
          </a:fld>
          <a:endParaRPr lang="en-IN" sz="1050" b="1">
            <a:ln>
              <a:noFill/>
            </a:ln>
            <a:solidFill>
              <a:schemeClr val="tx1"/>
            </a:solidFill>
          </a:endParaRPr>
        </a:p>
      </xdr:txBody>
    </xdr:sp>
    <xdr:clientData/>
  </xdr:twoCellAnchor>
  <xdr:twoCellAnchor editAs="oneCell">
    <xdr:from>
      <xdr:col>20</xdr:col>
      <xdr:colOff>411480</xdr:colOff>
      <xdr:row>15</xdr:row>
      <xdr:rowOff>76200</xdr:rowOff>
    </xdr:from>
    <xdr:to>
      <xdr:col>23</xdr:col>
      <xdr:colOff>45720</xdr:colOff>
      <xdr:row>24</xdr:row>
      <xdr:rowOff>38100</xdr:rowOff>
    </xdr:to>
    <mc:AlternateContent xmlns:mc="http://schemas.openxmlformats.org/markup-compatibility/2006" xmlns:a14="http://schemas.microsoft.com/office/drawing/2010/main">
      <mc:Choice Requires="a14">
        <xdr:graphicFrame macro="">
          <xdr:nvGraphicFramePr>
            <xdr:cNvPr id="28" name="Region 2">
              <a:extLst>
                <a:ext uri="{FF2B5EF4-FFF2-40B4-BE49-F238E27FC236}">
                  <a16:creationId xmlns:a16="http://schemas.microsoft.com/office/drawing/2014/main" id="{97DDD5C3-95A5-484D-95F8-F5A5A653B15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572692" y="3539836"/>
              <a:ext cx="1458422" cy="2040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556260</xdr:colOff>
      <xdr:row>20</xdr:row>
      <xdr:rowOff>220980</xdr:rowOff>
    </xdr:from>
    <xdr:to>
      <xdr:col>18</xdr:col>
      <xdr:colOff>533400</xdr:colOff>
      <xdr:row>22</xdr:row>
      <xdr:rowOff>190500</xdr:rowOff>
    </xdr:to>
    <xdr:sp macro="" textlink="Sheet6!$B$41">
      <xdr:nvSpPr>
        <xdr:cNvPr id="29" name="Rectangle: Rounded Corners 28">
          <a:extLst>
            <a:ext uri="{FF2B5EF4-FFF2-40B4-BE49-F238E27FC236}">
              <a16:creationId xmlns:a16="http://schemas.microsoft.com/office/drawing/2014/main" id="{34A09353-A3C4-4F75-B759-B0D217A353EC}"/>
            </a:ext>
          </a:extLst>
        </xdr:cNvPr>
        <xdr:cNvSpPr/>
      </xdr:nvSpPr>
      <xdr:spPr>
        <a:xfrm>
          <a:off x="10919460" y="4792980"/>
          <a:ext cx="586740" cy="42672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E18F67A-11F4-4D90-B1BA-4CBD89099C81}" type="TxLink">
            <a:rPr lang="en-US" sz="1400" b="1" i="0" u="none" strike="noStrike">
              <a:ln>
                <a:noFill/>
              </a:ln>
              <a:solidFill>
                <a:schemeClr val="tx1"/>
              </a:solidFill>
              <a:latin typeface="Gill Sans MT"/>
            </a:rPr>
            <a:pPr algn="l"/>
            <a:t>366</a:t>
          </a:fld>
          <a:endParaRPr lang="en-IN" sz="1400" b="1">
            <a:ln>
              <a:noFill/>
            </a:ln>
            <a:solidFill>
              <a:schemeClr val="tx1"/>
            </a:solidFill>
          </a:endParaRPr>
        </a:p>
      </xdr:txBody>
    </xdr:sp>
    <xdr:clientData/>
  </xdr:twoCellAnchor>
  <xdr:twoCellAnchor>
    <xdr:from>
      <xdr:col>17</xdr:col>
      <xdr:colOff>541020</xdr:colOff>
      <xdr:row>24</xdr:row>
      <xdr:rowOff>106680</xdr:rowOff>
    </xdr:from>
    <xdr:to>
      <xdr:col>18</xdr:col>
      <xdr:colOff>594360</xdr:colOff>
      <xdr:row>25</xdr:row>
      <xdr:rowOff>220980</xdr:rowOff>
    </xdr:to>
    <xdr:sp macro="" textlink="Sheet6!$B$44">
      <xdr:nvSpPr>
        <xdr:cNvPr id="30" name="Rectangle: Rounded Corners 29">
          <a:extLst>
            <a:ext uri="{FF2B5EF4-FFF2-40B4-BE49-F238E27FC236}">
              <a16:creationId xmlns:a16="http://schemas.microsoft.com/office/drawing/2014/main" id="{83A3A1D7-6FCF-4DB8-A72B-7636462097AF}"/>
            </a:ext>
          </a:extLst>
        </xdr:cNvPr>
        <xdr:cNvSpPr/>
      </xdr:nvSpPr>
      <xdr:spPr>
        <a:xfrm>
          <a:off x="10904220" y="5593080"/>
          <a:ext cx="662940"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28E625EF-5234-43B0-95BA-40DDA0FFEDF0}" type="TxLink">
            <a:rPr lang="en-US" sz="1200" b="1" i="0" u="none" strike="noStrike">
              <a:solidFill>
                <a:schemeClr val="tx1"/>
              </a:solidFill>
              <a:latin typeface="Gill Sans MT"/>
            </a:rPr>
            <a:pPr algn="l"/>
            <a:t>1,607</a:t>
          </a:fld>
          <a:endParaRPr lang="en-IN" sz="1200" b="1">
            <a:solidFill>
              <a:schemeClr val="tx1"/>
            </a:solidFill>
          </a:endParaRPr>
        </a:p>
      </xdr:txBody>
    </xdr:sp>
    <xdr:clientData/>
  </xdr:twoCellAnchor>
  <xdr:twoCellAnchor editAs="oneCell">
    <xdr:from>
      <xdr:col>19</xdr:col>
      <xdr:colOff>138545</xdr:colOff>
      <xdr:row>17</xdr:row>
      <xdr:rowOff>144780</xdr:rowOff>
    </xdr:from>
    <xdr:to>
      <xdr:col>20</xdr:col>
      <xdr:colOff>259080</xdr:colOff>
      <xdr:row>19</xdr:row>
      <xdr:rowOff>152400</xdr:rowOff>
    </xdr:to>
    <xdr:pic>
      <xdr:nvPicPr>
        <xdr:cNvPr id="31" name="Graphic 30" descr="Bar chart with solid fill">
          <a:extLst>
            <a:ext uri="{FF2B5EF4-FFF2-40B4-BE49-F238E27FC236}">
              <a16:creationId xmlns:a16="http://schemas.microsoft.com/office/drawing/2014/main" id="{06434785-0AC3-4EEA-9C3B-AA81D95D147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691697" y="4070235"/>
          <a:ext cx="728595" cy="469438"/>
        </a:xfrm>
        <a:prstGeom prst="rect">
          <a:avLst/>
        </a:prstGeom>
      </xdr:spPr>
    </xdr:pic>
    <xdr:clientData/>
  </xdr:twoCellAnchor>
  <xdr:twoCellAnchor editAs="oneCell">
    <xdr:from>
      <xdr:col>18</xdr:col>
      <xdr:colOff>584970</xdr:colOff>
      <xdr:row>20</xdr:row>
      <xdr:rowOff>207818</xdr:rowOff>
    </xdr:from>
    <xdr:to>
      <xdr:col>20</xdr:col>
      <xdr:colOff>236220</xdr:colOff>
      <xdr:row>23</xdr:row>
      <xdr:rowOff>15240</xdr:rowOff>
    </xdr:to>
    <xdr:pic>
      <xdr:nvPicPr>
        <xdr:cNvPr id="32" name="Graphic 31" descr="Money with solid fill">
          <a:extLst>
            <a:ext uri="{FF2B5EF4-FFF2-40B4-BE49-F238E27FC236}">
              <a16:creationId xmlns:a16="http://schemas.microsoft.com/office/drawing/2014/main" id="{2FCF34FA-50A8-45C2-978D-06B171FDB5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30061" y="4826000"/>
          <a:ext cx="867371" cy="500149"/>
        </a:xfrm>
        <a:prstGeom prst="rect">
          <a:avLst/>
        </a:prstGeom>
      </xdr:spPr>
    </xdr:pic>
    <xdr:clientData/>
  </xdr:twoCellAnchor>
  <xdr:twoCellAnchor editAs="oneCell">
    <xdr:from>
      <xdr:col>19</xdr:col>
      <xdr:colOff>91440</xdr:colOff>
      <xdr:row>24</xdr:row>
      <xdr:rowOff>68580</xdr:rowOff>
    </xdr:from>
    <xdr:to>
      <xdr:col>20</xdr:col>
      <xdr:colOff>228600</xdr:colOff>
      <xdr:row>26</xdr:row>
      <xdr:rowOff>137160</xdr:rowOff>
    </xdr:to>
    <xdr:pic>
      <xdr:nvPicPr>
        <xdr:cNvPr id="33" name="Graphic 32" descr="Books on shelf with solid fill">
          <a:extLst>
            <a:ext uri="{FF2B5EF4-FFF2-40B4-BE49-F238E27FC236}">
              <a16:creationId xmlns:a16="http://schemas.microsoft.com/office/drawing/2014/main" id="{2AA34B18-CEDC-4BAE-9614-9A0B518F17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673840" y="5554980"/>
          <a:ext cx="746760" cy="525780"/>
        </a:xfrm>
        <a:prstGeom prst="rect">
          <a:avLst/>
        </a:prstGeom>
      </xdr:spPr>
    </xdr:pic>
    <xdr:clientData/>
  </xdr:twoCellAnchor>
  <xdr:twoCellAnchor editAs="oneCell">
    <xdr:from>
      <xdr:col>16</xdr:col>
      <xdr:colOff>338666</xdr:colOff>
      <xdr:row>8</xdr:row>
      <xdr:rowOff>182880</xdr:rowOff>
    </xdr:from>
    <xdr:to>
      <xdr:col>20</xdr:col>
      <xdr:colOff>342900</xdr:colOff>
      <xdr:row>15</xdr:row>
      <xdr:rowOff>213360</xdr:rowOff>
    </xdr:to>
    <xdr:pic>
      <xdr:nvPicPr>
        <xdr:cNvPr id="36" name="Picture 35">
          <a:extLst>
            <a:ext uri="{FF2B5EF4-FFF2-40B4-BE49-F238E27FC236}">
              <a16:creationId xmlns:a16="http://schemas.microsoft.com/office/drawing/2014/main" id="{DB48193A-C175-6062-3EFB-474B6374A168}"/>
            </a:ext>
          </a:extLst>
        </xdr:cNvPr>
        <xdr:cNvPicPr>
          <a:picLocks noChangeAspect="1"/>
        </xdr:cNvPicPr>
      </xdr:nvPicPr>
      <xdr:blipFill>
        <a:blip xmlns:r="http://schemas.openxmlformats.org/officeDocument/2006/relationships" r:embed="rId11"/>
        <a:stretch>
          <a:fillRect/>
        </a:stretch>
      </xdr:blipFill>
      <xdr:spPr>
        <a:xfrm>
          <a:off x="10067636" y="2030153"/>
          <a:ext cx="2436476" cy="1646843"/>
        </a:xfrm>
        <a:prstGeom prst="rect">
          <a:avLst/>
        </a:prstGeom>
        <a:ln>
          <a:solidFill>
            <a:schemeClr val="tx1"/>
          </a:solidFill>
        </a:ln>
      </xdr:spPr>
    </xdr:pic>
    <xdr:clientData/>
  </xdr:twoCellAnchor>
  <xdr:twoCellAnchor>
    <xdr:from>
      <xdr:col>6</xdr:col>
      <xdr:colOff>274320</xdr:colOff>
      <xdr:row>18</xdr:row>
      <xdr:rowOff>167640</xdr:rowOff>
    </xdr:from>
    <xdr:to>
      <xdr:col>13</xdr:col>
      <xdr:colOff>502920</xdr:colOff>
      <xdr:row>25</xdr:row>
      <xdr:rowOff>190500</xdr:rowOff>
    </xdr:to>
    <xdr:graphicFrame macro="">
      <xdr:nvGraphicFramePr>
        <xdr:cNvPr id="38" name="Chart 37">
          <a:extLst>
            <a:ext uri="{FF2B5EF4-FFF2-40B4-BE49-F238E27FC236}">
              <a16:creationId xmlns:a16="http://schemas.microsoft.com/office/drawing/2014/main" id="{EF346174-14A1-4DAB-80CB-215F3E56B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68580</xdr:colOff>
      <xdr:row>9</xdr:row>
      <xdr:rowOff>205740</xdr:rowOff>
    </xdr:from>
    <xdr:to>
      <xdr:col>9</xdr:col>
      <xdr:colOff>274320</xdr:colOff>
      <xdr:row>16</xdr:row>
      <xdr:rowOff>114300</xdr:rowOff>
    </xdr:to>
    <xdr:graphicFrame macro="">
      <xdr:nvGraphicFramePr>
        <xdr:cNvPr id="39" name="Chart 38">
          <a:extLst>
            <a:ext uri="{FF2B5EF4-FFF2-40B4-BE49-F238E27FC236}">
              <a16:creationId xmlns:a16="http://schemas.microsoft.com/office/drawing/2014/main" id="{EABD53B3-8C61-48DA-B776-02D3F177D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22860</xdr:colOff>
      <xdr:row>9</xdr:row>
      <xdr:rowOff>190500</xdr:rowOff>
    </xdr:from>
    <xdr:to>
      <xdr:col>16</xdr:col>
      <xdr:colOff>115454</xdr:colOff>
      <xdr:row>16</xdr:row>
      <xdr:rowOff>91440</xdr:rowOff>
    </xdr:to>
    <xdr:graphicFrame macro="">
      <xdr:nvGraphicFramePr>
        <xdr:cNvPr id="41" name="Chart 40">
          <a:extLst>
            <a:ext uri="{FF2B5EF4-FFF2-40B4-BE49-F238E27FC236}">
              <a16:creationId xmlns:a16="http://schemas.microsoft.com/office/drawing/2014/main" id="{DFD29865-7860-4E04-9B4F-A7168B2D2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121920</xdr:colOff>
      <xdr:row>19</xdr:row>
      <xdr:rowOff>60960</xdr:rowOff>
    </xdr:from>
    <xdr:to>
      <xdr:col>5</xdr:col>
      <xdr:colOff>464820</xdr:colOff>
      <xdr:row>24</xdr:row>
      <xdr:rowOff>91440</xdr:rowOff>
    </xdr:to>
    <xdr:pic>
      <xdr:nvPicPr>
        <xdr:cNvPr id="47" name="Graphic 46" descr="Bar chart with solid fill">
          <a:extLst>
            <a:ext uri="{FF2B5EF4-FFF2-40B4-BE49-F238E27FC236}">
              <a16:creationId xmlns:a16="http://schemas.microsoft.com/office/drawing/2014/main" id="{FCD55262-022D-9B7E-FF45-CF29A7E5119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50720" y="4404360"/>
          <a:ext cx="1562100" cy="1173480"/>
        </a:xfrm>
        <a:prstGeom prst="rect">
          <a:avLst/>
        </a:prstGeom>
      </xdr:spPr>
    </xdr:pic>
    <xdr:clientData/>
  </xdr:twoCellAnchor>
  <xdr:twoCellAnchor editAs="oneCell">
    <xdr:from>
      <xdr:col>14</xdr:col>
      <xdr:colOff>289560</xdr:colOff>
      <xdr:row>18</xdr:row>
      <xdr:rowOff>190500</xdr:rowOff>
    </xdr:from>
    <xdr:to>
      <xdr:col>17</xdr:col>
      <xdr:colOff>266700</xdr:colOff>
      <xdr:row>24</xdr:row>
      <xdr:rowOff>198120</xdr:rowOff>
    </xdr:to>
    <xdr:pic>
      <xdr:nvPicPr>
        <xdr:cNvPr id="49" name="Graphic 48" descr="Bar chart with solid fill">
          <a:extLst>
            <a:ext uri="{FF2B5EF4-FFF2-40B4-BE49-F238E27FC236}">
              <a16:creationId xmlns:a16="http://schemas.microsoft.com/office/drawing/2014/main" id="{48A64A14-3E10-45EA-B3B2-6F8C25E5C7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23960" y="4305300"/>
          <a:ext cx="1805940" cy="1379220"/>
        </a:xfrm>
        <a:prstGeom prst="rect">
          <a:avLst/>
        </a:prstGeom>
      </xdr:spPr>
    </xdr:pic>
    <xdr:clientData/>
  </xdr:twoCellAnchor>
  <xdr:twoCellAnchor>
    <xdr:from>
      <xdr:col>0</xdr:col>
      <xdr:colOff>153939</xdr:colOff>
      <xdr:row>20</xdr:row>
      <xdr:rowOff>92363</xdr:rowOff>
    </xdr:from>
    <xdr:to>
      <xdr:col>2</xdr:col>
      <xdr:colOff>330970</xdr:colOff>
      <xdr:row>23</xdr:row>
      <xdr:rowOff>153939</xdr:rowOff>
    </xdr:to>
    <xdr:sp macro="" textlink="">
      <xdr:nvSpPr>
        <xdr:cNvPr id="9" name="Rectangle: Rounded Corners 8">
          <a:hlinkClick xmlns:r="http://schemas.openxmlformats.org/officeDocument/2006/relationships" r:id="rId17"/>
          <a:extLst>
            <a:ext uri="{FF2B5EF4-FFF2-40B4-BE49-F238E27FC236}">
              <a16:creationId xmlns:a16="http://schemas.microsoft.com/office/drawing/2014/main" id="{2B8E0ADC-CFAC-801E-7672-CAF045D6A2CE}"/>
            </a:ext>
          </a:extLst>
        </xdr:cNvPr>
        <xdr:cNvSpPr/>
      </xdr:nvSpPr>
      <xdr:spPr>
        <a:xfrm>
          <a:off x="153939" y="4710545"/>
          <a:ext cx="1393152" cy="75430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ABOUT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xdr:colOff>
      <xdr:row>0</xdr:row>
      <xdr:rowOff>22860</xdr:rowOff>
    </xdr:from>
    <xdr:to>
      <xdr:col>23</xdr:col>
      <xdr:colOff>152400</xdr:colOff>
      <xdr:row>28</xdr:row>
      <xdr:rowOff>115455</xdr:rowOff>
    </xdr:to>
    <xdr:sp macro="" textlink="">
      <xdr:nvSpPr>
        <xdr:cNvPr id="2" name="Rectangle: Rounded Corners 1">
          <a:extLst>
            <a:ext uri="{FF2B5EF4-FFF2-40B4-BE49-F238E27FC236}">
              <a16:creationId xmlns:a16="http://schemas.microsoft.com/office/drawing/2014/main" id="{FC1B9367-3F90-497F-ADAA-F0F353FAC49F}"/>
            </a:ext>
          </a:extLst>
        </xdr:cNvPr>
        <xdr:cNvSpPr/>
      </xdr:nvSpPr>
      <xdr:spPr>
        <a:xfrm>
          <a:off x="60960" y="22860"/>
          <a:ext cx="14076834" cy="6558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449581</xdr:colOff>
      <xdr:row>0</xdr:row>
      <xdr:rowOff>45720</xdr:rowOff>
    </xdr:from>
    <xdr:to>
      <xdr:col>23</xdr:col>
      <xdr:colOff>153939</xdr:colOff>
      <xdr:row>28</xdr:row>
      <xdr:rowOff>123151</xdr:rowOff>
    </xdr:to>
    <xdr:sp macro="" textlink="">
      <xdr:nvSpPr>
        <xdr:cNvPr id="3" name="Rectangle: Rounded Corners 2">
          <a:extLst>
            <a:ext uri="{FF2B5EF4-FFF2-40B4-BE49-F238E27FC236}">
              <a16:creationId xmlns:a16="http://schemas.microsoft.com/office/drawing/2014/main" id="{BF1937F8-C570-4E85-9709-0AEB9DE7C08D}"/>
            </a:ext>
          </a:extLst>
        </xdr:cNvPr>
        <xdr:cNvSpPr/>
      </xdr:nvSpPr>
      <xdr:spPr>
        <a:xfrm>
          <a:off x="1665702" y="45720"/>
          <a:ext cx="12473631" cy="6542886"/>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381000</xdr:colOff>
      <xdr:row>0</xdr:row>
      <xdr:rowOff>83820</xdr:rowOff>
    </xdr:from>
    <xdr:to>
      <xdr:col>21</xdr:col>
      <xdr:colOff>548640</xdr:colOff>
      <xdr:row>4</xdr:row>
      <xdr:rowOff>91440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5661F52D-CD6A-4C6C-A462-A95FAA8ED3C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7069667" y="83820"/>
              <a:ext cx="6248246" cy="9312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403860</xdr:colOff>
      <xdr:row>4</xdr:row>
      <xdr:rowOff>152398</xdr:rowOff>
    </xdr:from>
    <xdr:to>
      <xdr:col>23</xdr:col>
      <xdr:colOff>45886</xdr:colOff>
      <xdr:row>15</xdr:row>
      <xdr:rowOff>53340</xdr:rowOff>
    </xdr:to>
    <mc:AlternateContent xmlns:mc="http://schemas.openxmlformats.org/markup-compatibility/2006" xmlns:a14="http://schemas.microsoft.com/office/drawing/2010/main">
      <mc:Choice Requires="a14">
        <xdr:graphicFrame macro="">
          <xdr:nvGraphicFramePr>
            <xdr:cNvPr id="5" name="Salesman 3">
              <a:extLst>
                <a:ext uri="{FF2B5EF4-FFF2-40B4-BE49-F238E27FC236}">
                  <a16:creationId xmlns:a16="http://schemas.microsoft.com/office/drawing/2014/main" id="{F315D4E7-AE85-4E0C-B74A-3D98FD5F0DF2}"/>
                </a:ext>
              </a:extLst>
            </xdr:cNvPr>
            <xdr:cNvGraphicFramePr/>
          </xdr:nvGraphicFramePr>
          <xdr:xfrm>
            <a:off x="0" y="0"/>
            <a:ext cx="0" cy="0"/>
          </xdr:xfrm>
          <a:graphic>
            <a:graphicData uri="http://schemas.microsoft.com/office/drawing/2010/slicer">
              <sle:slicer xmlns:sle="http://schemas.microsoft.com/office/drawing/2010/slicer" name="Salesman 3"/>
            </a:graphicData>
          </a:graphic>
        </xdr:graphicFrame>
      </mc:Choice>
      <mc:Fallback xmlns="">
        <xdr:sp macro="" textlink="">
          <xdr:nvSpPr>
            <xdr:cNvPr id="0" name=""/>
            <xdr:cNvSpPr>
              <a:spLocks noTextEdit="1"/>
            </xdr:cNvSpPr>
          </xdr:nvSpPr>
          <xdr:spPr>
            <a:xfrm>
              <a:off x="12565072" y="1076034"/>
              <a:ext cx="1466208" cy="2440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441960</xdr:colOff>
      <xdr:row>4</xdr:row>
      <xdr:rowOff>106680</xdr:rowOff>
    </xdr:from>
    <xdr:to>
      <xdr:col>20</xdr:col>
      <xdr:colOff>350520</xdr:colOff>
      <xdr:row>7</xdr:row>
      <xdr:rowOff>213359</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75668892-6567-45CD-9F43-4904D4D8BF7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658081" y="1030316"/>
              <a:ext cx="10853651" cy="799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8</xdr:row>
      <xdr:rowOff>60960</xdr:rowOff>
    </xdr:from>
    <xdr:to>
      <xdr:col>9</xdr:col>
      <xdr:colOff>434340</xdr:colOff>
      <xdr:row>17</xdr:row>
      <xdr:rowOff>0</xdr:rowOff>
    </xdr:to>
    <xdr:sp macro="" textlink="">
      <xdr:nvSpPr>
        <xdr:cNvPr id="7" name="Rectangle: Rounded Corners 6">
          <a:extLst>
            <a:ext uri="{FF2B5EF4-FFF2-40B4-BE49-F238E27FC236}">
              <a16:creationId xmlns:a16="http://schemas.microsoft.com/office/drawing/2014/main" id="{FF6F9C18-8ACB-476A-9623-E19DF3EE6B7D}"/>
            </a:ext>
          </a:extLst>
        </xdr:cNvPr>
        <xdr:cNvSpPr/>
      </xdr:nvSpPr>
      <xdr:spPr>
        <a:xfrm>
          <a:off x="1737360" y="1889760"/>
          <a:ext cx="4183380" cy="199644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LESS 3 PERFORMING</a:t>
          </a:r>
          <a:r>
            <a:rPr lang="en-IN" sz="1200" b="1" baseline="0"/>
            <a:t> PRODUCTS</a:t>
          </a:r>
          <a:endParaRPr lang="en-IN" sz="1200" b="1"/>
        </a:p>
      </xdr:txBody>
    </xdr:sp>
    <xdr:clientData/>
  </xdr:twoCellAnchor>
  <xdr:twoCellAnchor>
    <xdr:from>
      <xdr:col>9</xdr:col>
      <xdr:colOff>487681</xdr:colOff>
      <xdr:row>8</xdr:row>
      <xdr:rowOff>60960</xdr:rowOff>
    </xdr:from>
    <xdr:to>
      <xdr:col>16</xdr:col>
      <xdr:colOff>215516</xdr:colOff>
      <xdr:row>16</xdr:row>
      <xdr:rowOff>198120</xdr:rowOff>
    </xdr:to>
    <xdr:sp macro="" textlink="">
      <xdr:nvSpPr>
        <xdr:cNvPr id="8" name="Rectangle: Rounded Corners 7">
          <a:extLst>
            <a:ext uri="{FF2B5EF4-FFF2-40B4-BE49-F238E27FC236}">
              <a16:creationId xmlns:a16="http://schemas.microsoft.com/office/drawing/2014/main" id="{3B9C7847-80E0-4026-94F9-E597BE28F962}"/>
            </a:ext>
          </a:extLst>
        </xdr:cNvPr>
        <xdr:cNvSpPr/>
      </xdr:nvSpPr>
      <xdr:spPr>
        <a:xfrm>
          <a:off x="5960226" y="1908233"/>
          <a:ext cx="3984260" cy="1984432"/>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TOP 3 PERFORMING</a:t>
          </a:r>
          <a:r>
            <a:rPr lang="en-IN" sz="1200" b="1" baseline="0"/>
            <a:t> PRODUCTS</a:t>
          </a:r>
          <a:endParaRPr lang="en-IN" sz="1200" b="1"/>
        </a:p>
      </xdr:txBody>
    </xdr:sp>
    <xdr:clientData/>
  </xdr:twoCellAnchor>
  <xdr:twoCellAnchor>
    <xdr:from>
      <xdr:col>6</xdr:col>
      <xdr:colOff>7620</xdr:colOff>
      <xdr:row>17</xdr:row>
      <xdr:rowOff>45720</xdr:rowOff>
    </xdr:from>
    <xdr:to>
      <xdr:col>14</xdr:col>
      <xdr:colOff>99060</xdr:colOff>
      <xdr:row>26</xdr:row>
      <xdr:rowOff>92364</xdr:rowOff>
    </xdr:to>
    <xdr:sp macro="" textlink="">
      <xdr:nvSpPr>
        <xdr:cNvPr id="9" name="Rectangle: Rounded Corners 8">
          <a:extLst>
            <a:ext uri="{FF2B5EF4-FFF2-40B4-BE49-F238E27FC236}">
              <a16:creationId xmlns:a16="http://schemas.microsoft.com/office/drawing/2014/main" id="{DEA7FBE0-55D2-4657-907D-19FA5BEC0B6E}"/>
            </a:ext>
          </a:extLst>
        </xdr:cNvPr>
        <xdr:cNvSpPr/>
      </xdr:nvSpPr>
      <xdr:spPr>
        <a:xfrm>
          <a:off x="3655984" y="3971175"/>
          <a:ext cx="4955924" cy="212482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ITEM VS</a:t>
          </a:r>
          <a:r>
            <a:rPr lang="en-IN" sz="1200" b="1" baseline="0"/>
            <a:t> SUM OF AMOUNT</a:t>
          </a:r>
          <a:endParaRPr lang="en-IN" sz="1200" b="1"/>
        </a:p>
      </xdr:txBody>
    </xdr:sp>
    <xdr:clientData/>
  </xdr:twoCellAnchor>
  <xdr:twoCellAnchor>
    <xdr:from>
      <xdr:col>0</xdr:col>
      <xdr:colOff>129540</xdr:colOff>
      <xdr:row>8</xdr:row>
      <xdr:rowOff>99060</xdr:rowOff>
    </xdr:from>
    <xdr:to>
      <xdr:col>2</xdr:col>
      <xdr:colOff>342900</xdr:colOff>
      <xdr:row>11</xdr:row>
      <xdr:rowOff>177030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EE0AC72E-5E0C-48BD-8384-0FCE8335B634}"/>
            </a:ext>
          </a:extLst>
        </xdr:cNvPr>
        <xdr:cNvSpPr/>
      </xdr:nvSpPr>
      <xdr:spPr>
        <a:xfrm>
          <a:off x="129540" y="1946333"/>
          <a:ext cx="1429481" cy="77069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effectLst>
                <a:outerShdw blurRad="50800" dist="38100" dir="2700000" algn="tl" rotWithShape="0">
                  <a:prstClr val="black">
                    <a:alpha val="40000"/>
                  </a:prstClr>
                </a:outerShdw>
                <a:reflection blurRad="6350" stA="55000" endA="50" endPos="85000" dist="29997" dir="5400000" sy="-100000" algn="bl" rotWithShape="0"/>
              </a:effectLst>
            </a:rPr>
            <a:t>DASHBOARD</a:t>
          </a:r>
        </a:p>
      </xdr:txBody>
    </xdr:sp>
    <xdr:clientData/>
  </xdr:twoCellAnchor>
  <xdr:twoCellAnchor>
    <xdr:from>
      <xdr:col>0</xdr:col>
      <xdr:colOff>145165</xdr:colOff>
      <xdr:row>12</xdr:row>
      <xdr:rowOff>38255</xdr:rowOff>
    </xdr:from>
    <xdr:to>
      <xdr:col>2</xdr:col>
      <xdr:colOff>328045</xdr:colOff>
      <xdr:row>15</xdr:row>
      <xdr:rowOff>146244</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EACACF68-7FD4-4680-AEFC-1965C058084B}"/>
            </a:ext>
          </a:extLst>
        </xdr:cNvPr>
        <xdr:cNvSpPr/>
      </xdr:nvSpPr>
      <xdr:spPr>
        <a:xfrm>
          <a:off x="145165" y="2809164"/>
          <a:ext cx="1399001" cy="800716"/>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solidFill>
                <a:schemeClr val="tx1"/>
              </a:solidFill>
              <a:effectLst>
                <a:outerShdw blurRad="50800" dist="38100" dir="2700000" algn="tl" rotWithShape="0">
                  <a:prstClr val="black">
                    <a:alpha val="40000"/>
                  </a:prstClr>
                </a:outerShdw>
                <a:reflection blurRad="6350" stA="55000" endA="50" endPos="85000" dir="5400000" sy="-100000" algn="bl" rotWithShape="0"/>
              </a:effectLst>
            </a:rPr>
            <a:t>SALESMAN</a:t>
          </a:r>
        </a:p>
      </xdr:txBody>
    </xdr:sp>
    <xdr:clientData/>
  </xdr:twoCellAnchor>
  <xdr:twoCellAnchor>
    <xdr:from>
      <xdr:col>0</xdr:col>
      <xdr:colOff>106603</xdr:colOff>
      <xdr:row>16</xdr:row>
      <xdr:rowOff>20936</xdr:rowOff>
    </xdr:from>
    <xdr:to>
      <xdr:col>2</xdr:col>
      <xdr:colOff>304723</xdr:colOff>
      <xdr:row>19</xdr:row>
      <xdr:rowOff>92363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AE3FC962-7ABC-4BE1-B267-84F36A43621C}"/>
            </a:ext>
          </a:extLst>
        </xdr:cNvPr>
        <xdr:cNvSpPr/>
      </xdr:nvSpPr>
      <xdr:spPr>
        <a:xfrm>
          <a:off x="106603" y="3715481"/>
          <a:ext cx="1414241" cy="764155"/>
        </a:xfrm>
        <a:prstGeom prst="roundRect">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1"/>
              </a:solidFill>
              <a:effectLst>
                <a:outerShdw blurRad="50800" dist="38100" dir="5400000" algn="t" rotWithShape="0">
                  <a:prstClr val="black">
                    <a:alpha val="40000"/>
                  </a:prstClr>
                </a:outerShdw>
                <a:reflection blurRad="6350" stA="55000" endA="50" endPos="85000" dist="29997" dir="5400000" sy="-100000" algn="bl" rotWithShape="0"/>
              </a:effectLst>
            </a:rPr>
            <a:t>ITEMS</a:t>
          </a:r>
        </a:p>
      </xdr:txBody>
    </xdr:sp>
    <xdr:clientData/>
  </xdr:twoCellAnchor>
  <xdr:twoCellAnchor editAs="oneCell">
    <xdr:from>
      <xdr:col>0</xdr:col>
      <xdr:colOff>220980</xdr:colOff>
      <xdr:row>2</xdr:row>
      <xdr:rowOff>91440</xdr:rowOff>
    </xdr:from>
    <xdr:to>
      <xdr:col>2</xdr:col>
      <xdr:colOff>327660</xdr:colOff>
      <xdr:row>8</xdr:row>
      <xdr:rowOff>7621</xdr:rowOff>
    </xdr:to>
    <xdr:pic>
      <xdr:nvPicPr>
        <xdr:cNvPr id="13" name="Picture 12">
          <a:extLst>
            <a:ext uri="{FF2B5EF4-FFF2-40B4-BE49-F238E27FC236}">
              <a16:creationId xmlns:a16="http://schemas.microsoft.com/office/drawing/2014/main" id="{3831A673-246C-4E26-9637-2132DA5BDEB3}"/>
            </a:ext>
          </a:extLst>
        </xdr:cNvPr>
        <xdr:cNvPicPr>
          <a:picLocks noChangeAspect="1"/>
        </xdr:cNvPicPr>
      </xdr:nvPicPr>
      <xdr:blipFill>
        <a:blip xmlns:r="http://schemas.openxmlformats.org/officeDocument/2006/relationships" r:embed="rId4"/>
        <a:stretch>
          <a:fillRect/>
        </a:stretch>
      </xdr:blipFill>
      <xdr:spPr>
        <a:xfrm>
          <a:off x="220980" y="548640"/>
          <a:ext cx="1325880" cy="1287781"/>
        </a:xfrm>
        <a:prstGeom prst="rect">
          <a:avLst/>
        </a:prstGeom>
        <a:ln>
          <a:noFill/>
        </a:ln>
      </xdr:spPr>
    </xdr:pic>
    <xdr:clientData/>
  </xdr:twoCellAnchor>
  <xdr:twoCellAnchor>
    <xdr:from>
      <xdr:col>17</xdr:col>
      <xdr:colOff>495300</xdr:colOff>
      <xdr:row>16</xdr:row>
      <xdr:rowOff>144780</xdr:rowOff>
    </xdr:from>
    <xdr:to>
      <xdr:col>20</xdr:col>
      <xdr:colOff>320040</xdr:colOff>
      <xdr:row>19</xdr:row>
      <xdr:rowOff>190500</xdr:rowOff>
    </xdr:to>
    <xdr:sp macro="" textlink="">
      <xdr:nvSpPr>
        <xdr:cNvPr id="14" name="Rectangle: Rounded Corners 13">
          <a:extLst>
            <a:ext uri="{FF2B5EF4-FFF2-40B4-BE49-F238E27FC236}">
              <a16:creationId xmlns:a16="http://schemas.microsoft.com/office/drawing/2014/main" id="{F49F8577-D027-4A7B-A6FA-A4799A8ADC09}"/>
            </a:ext>
          </a:extLst>
        </xdr:cNvPr>
        <xdr:cNvSpPr/>
      </xdr:nvSpPr>
      <xdr:spPr>
        <a:xfrm>
          <a:off x="10858500" y="3802380"/>
          <a:ext cx="1653540" cy="73152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b="1">
              <a:solidFill>
                <a:schemeClr val="tx1"/>
              </a:solidFill>
            </a:rPr>
            <a:t>TOTAL</a:t>
          </a:r>
          <a:r>
            <a:rPr lang="en-IN" sz="1000" b="1" baseline="0">
              <a:solidFill>
                <a:schemeClr val="tx1"/>
              </a:solidFill>
            </a:rPr>
            <a:t> AMOUNT</a:t>
          </a:r>
          <a:endParaRPr lang="en-IN" sz="1000" b="1">
            <a:solidFill>
              <a:schemeClr val="tx1"/>
            </a:solidFill>
          </a:endParaRPr>
        </a:p>
      </xdr:txBody>
    </xdr:sp>
    <xdr:clientData/>
  </xdr:twoCellAnchor>
  <xdr:twoCellAnchor>
    <xdr:from>
      <xdr:col>17</xdr:col>
      <xdr:colOff>480060</xdr:colOff>
      <xdr:row>20</xdr:row>
      <xdr:rowOff>15240</xdr:rowOff>
    </xdr:from>
    <xdr:to>
      <xdr:col>20</xdr:col>
      <xdr:colOff>335280</xdr:colOff>
      <xdr:row>23</xdr:row>
      <xdr:rowOff>53340</xdr:rowOff>
    </xdr:to>
    <xdr:sp macro="" textlink="">
      <xdr:nvSpPr>
        <xdr:cNvPr id="15" name="Rectangle: Rounded Corners 14">
          <a:extLst>
            <a:ext uri="{FF2B5EF4-FFF2-40B4-BE49-F238E27FC236}">
              <a16:creationId xmlns:a16="http://schemas.microsoft.com/office/drawing/2014/main" id="{90952CBA-D112-41B4-9B4F-AB43982CF66C}"/>
            </a:ext>
          </a:extLst>
        </xdr:cNvPr>
        <xdr:cNvSpPr/>
      </xdr:nvSpPr>
      <xdr:spPr>
        <a:xfrm>
          <a:off x="10843260" y="4587240"/>
          <a:ext cx="1684020" cy="7239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SALE</a:t>
          </a:r>
          <a:endParaRPr lang="en-IN" sz="1100" b="1">
            <a:solidFill>
              <a:schemeClr val="tx1"/>
            </a:solidFill>
          </a:endParaRPr>
        </a:p>
      </xdr:txBody>
    </xdr:sp>
    <xdr:clientData/>
  </xdr:twoCellAnchor>
  <xdr:twoCellAnchor>
    <xdr:from>
      <xdr:col>17</xdr:col>
      <xdr:colOff>495300</xdr:colOff>
      <xdr:row>23</xdr:row>
      <xdr:rowOff>76200</xdr:rowOff>
    </xdr:from>
    <xdr:to>
      <xdr:col>20</xdr:col>
      <xdr:colOff>342900</xdr:colOff>
      <xdr:row>26</xdr:row>
      <xdr:rowOff>152400</xdr:rowOff>
    </xdr:to>
    <xdr:sp macro="" textlink="">
      <xdr:nvSpPr>
        <xdr:cNvPr id="16" name="Rectangle: Rounded Corners 15">
          <a:extLst>
            <a:ext uri="{FF2B5EF4-FFF2-40B4-BE49-F238E27FC236}">
              <a16:creationId xmlns:a16="http://schemas.microsoft.com/office/drawing/2014/main" id="{C143BC45-F89D-47BF-A876-7B2CF1C74769}"/>
            </a:ext>
          </a:extLst>
        </xdr:cNvPr>
        <xdr:cNvSpPr/>
      </xdr:nvSpPr>
      <xdr:spPr>
        <a:xfrm>
          <a:off x="10858500" y="5334000"/>
          <a:ext cx="1676400" cy="762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b="1"/>
            <a:t>TOTAL</a:t>
          </a:r>
          <a:r>
            <a:rPr lang="en-IN" sz="1000" b="1" baseline="0"/>
            <a:t> QUANTITY</a:t>
          </a:r>
        </a:p>
        <a:p>
          <a:pPr algn="l"/>
          <a:endParaRPr lang="en-IN" sz="1100"/>
        </a:p>
      </xdr:txBody>
    </xdr:sp>
    <xdr:clientData/>
  </xdr:twoCellAnchor>
  <xdr:twoCellAnchor>
    <xdr:from>
      <xdr:col>3</xdr:col>
      <xdr:colOff>592665</xdr:colOff>
      <xdr:row>0</xdr:row>
      <xdr:rowOff>123152</xdr:rowOff>
    </xdr:from>
    <xdr:to>
      <xdr:col>11</xdr:col>
      <xdr:colOff>289559</xdr:colOff>
      <xdr:row>4</xdr:row>
      <xdr:rowOff>53340</xdr:rowOff>
    </xdr:to>
    <xdr:sp macro="" textlink="">
      <xdr:nvSpPr>
        <xdr:cNvPr id="17" name="Rectangle 16">
          <a:extLst>
            <a:ext uri="{FF2B5EF4-FFF2-40B4-BE49-F238E27FC236}">
              <a16:creationId xmlns:a16="http://schemas.microsoft.com/office/drawing/2014/main" id="{98069E27-E340-47F3-84A3-50841249DE75}"/>
            </a:ext>
          </a:extLst>
        </xdr:cNvPr>
        <xdr:cNvSpPr/>
      </xdr:nvSpPr>
      <xdr:spPr>
        <a:xfrm>
          <a:off x="2416847" y="123152"/>
          <a:ext cx="4561379" cy="853824"/>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2400" b="1">
              <a:solidFill>
                <a:schemeClr val="tx1"/>
              </a:solidFill>
              <a:effectLst>
                <a:outerShdw blurRad="50800" dist="38100" dir="2700000" algn="tl" rotWithShape="0">
                  <a:prstClr val="black">
                    <a:alpha val="40000"/>
                  </a:prstClr>
                </a:outerShdw>
                <a:reflection blurRad="6350" stA="60000" endA="900" endPos="58000" dir="5400000" sy="-100000" algn="bl" rotWithShape="0"/>
              </a:effectLst>
            </a:rPr>
            <a:t>SALES</a:t>
          </a:r>
          <a:r>
            <a:rPr lang="en-IN" sz="2400" b="1" baseline="0">
              <a:solidFill>
                <a:schemeClr val="tx1"/>
              </a:solidFill>
              <a:effectLst>
                <a:outerShdw blurRad="50800" dist="38100" dir="2700000" algn="tl" rotWithShape="0">
                  <a:prstClr val="black">
                    <a:alpha val="40000"/>
                  </a:prstClr>
                </a:outerShdw>
                <a:reflection blurRad="6350" stA="60000" endA="900" endPos="58000" dir="5400000" sy="-100000" algn="bl" rotWithShape="0"/>
              </a:effectLst>
            </a:rPr>
            <a:t> DASHBOARD</a:t>
          </a:r>
          <a:endParaRPr lang="en-IN" sz="2400" b="1">
            <a:solidFill>
              <a:schemeClr val="tx1"/>
            </a:solidFill>
            <a:effectLst>
              <a:outerShdw blurRad="50800" dist="38100" dir="2700000" algn="tl" rotWithShape="0">
                <a:prstClr val="black">
                  <a:alpha val="40000"/>
                </a:prstClr>
              </a:outerShdw>
              <a:reflection blurRad="6350" stA="60000" endA="900" endPos="58000" dir="5400000" sy="-100000" algn="bl" rotWithShape="0"/>
            </a:effectLst>
          </a:endParaRPr>
        </a:p>
      </xdr:txBody>
    </xdr:sp>
    <xdr:clientData/>
  </xdr:twoCellAnchor>
  <xdr:twoCellAnchor editAs="oneCell">
    <xdr:from>
      <xdr:col>9</xdr:col>
      <xdr:colOff>83820</xdr:colOff>
      <xdr:row>0</xdr:row>
      <xdr:rowOff>160020</xdr:rowOff>
    </xdr:from>
    <xdr:to>
      <xdr:col>11</xdr:col>
      <xdr:colOff>152400</xdr:colOff>
      <xdr:row>4</xdr:row>
      <xdr:rowOff>7620</xdr:rowOff>
    </xdr:to>
    <xdr:pic>
      <xdr:nvPicPr>
        <xdr:cNvPr id="18" name="Graphic 17" descr="Bar chart with solid fill">
          <a:extLst>
            <a:ext uri="{FF2B5EF4-FFF2-40B4-BE49-F238E27FC236}">
              <a16:creationId xmlns:a16="http://schemas.microsoft.com/office/drawing/2014/main" id="{087AD022-DF72-4C4C-9504-15B135AC94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70220" y="160020"/>
          <a:ext cx="1287780" cy="762000"/>
        </a:xfrm>
        <a:prstGeom prst="rect">
          <a:avLst/>
        </a:prstGeom>
      </xdr:spPr>
    </xdr:pic>
    <xdr:clientData/>
  </xdr:twoCellAnchor>
  <xdr:twoCellAnchor>
    <xdr:from>
      <xdr:col>17</xdr:col>
      <xdr:colOff>548640</xdr:colOff>
      <xdr:row>17</xdr:row>
      <xdr:rowOff>129540</xdr:rowOff>
    </xdr:from>
    <xdr:to>
      <xdr:col>19</xdr:col>
      <xdr:colOff>274320</xdr:colOff>
      <xdr:row>19</xdr:row>
      <xdr:rowOff>76200</xdr:rowOff>
    </xdr:to>
    <xdr:sp macro="" textlink="Sheet6!B37">
      <xdr:nvSpPr>
        <xdr:cNvPr id="19" name="Rectangle: Rounded Corners 18">
          <a:extLst>
            <a:ext uri="{FF2B5EF4-FFF2-40B4-BE49-F238E27FC236}">
              <a16:creationId xmlns:a16="http://schemas.microsoft.com/office/drawing/2014/main" id="{AED966DD-6BD1-4E2E-BF02-93160FD7F498}"/>
            </a:ext>
          </a:extLst>
        </xdr:cNvPr>
        <xdr:cNvSpPr/>
      </xdr:nvSpPr>
      <xdr:spPr>
        <a:xfrm>
          <a:off x="10911840" y="4015740"/>
          <a:ext cx="944880" cy="4038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87EE7BC-789C-4E0E-89A8-1D96C6A0615B}" type="TxLink">
            <a:rPr lang="en-US" sz="1200" b="1" i="0" u="none" strike="noStrike">
              <a:ln>
                <a:noFill/>
              </a:ln>
              <a:solidFill>
                <a:srgbClr val="000000"/>
              </a:solidFill>
              <a:latin typeface="Gill Sans MT"/>
            </a:rPr>
            <a:pPr algn="l"/>
            <a:t>17,82,530</a:t>
          </a:fld>
          <a:endParaRPr lang="en-IN" sz="1050" b="1">
            <a:ln>
              <a:noFill/>
            </a:ln>
            <a:solidFill>
              <a:schemeClr val="tx1"/>
            </a:solidFill>
          </a:endParaRPr>
        </a:p>
      </xdr:txBody>
    </xdr:sp>
    <xdr:clientData/>
  </xdr:twoCellAnchor>
  <xdr:twoCellAnchor editAs="oneCell">
    <xdr:from>
      <xdr:col>20</xdr:col>
      <xdr:colOff>411480</xdr:colOff>
      <xdr:row>15</xdr:row>
      <xdr:rowOff>76200</xdr:rowOff>
    </xdr:from>
    <xdr:to>
      <xdr:col>23</xdr:col>
      <xdr:colOff>45720</xdr:colOff>
      <xdr:row>23</xdr:row>
      <xdr:rowOff>215515</xdr:rowOff>
    </xdr:to>
    <mc:AlternateContent xmlns:mc="http://schemas.openxmlformats.org/markup-compatibility/2006" xmlns:a14="http://schemas.microsoft.com/office/drawing/2010/main">
      <mc:Choice Requires="a14">
        <xdr:graphicFrame macro="">
          <xdr:nvGraphicFramePr>
            <xdr:cNvPr id="20" name="Region 3">
              <a:extLst>
                <a:ext uri="{FF2B5EF4-FFF2-40B4-BE49-F238E27FC236}">
                  <a16:creationId xmlns:a16="http://schemas.microsoft.com/office/drawing/2014/main" id="{036EAF3C-C7B7-4335-B024-272211EE9B2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2572692" y="3539836"/>
              <a:ext cx="1458422" cy="2040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556260</xdr:colOff>
      <xdr:row>20</xdr:row>
      <xdr:rowOff>220980</xdr:rowOff>
    </xdr:from>
    <xdr:to>
      <xdr:col>18</xdr:col>
      <xdr:colOff>533400</xdr:colOff>
      <xdr:row>22</xdr:row>
      <xdr:rowOff>190500</xdr:rowOff>
    </xdr:to>
    <xdr:sp macro="" textlink="Sheet6!$B$41">
      <xdr:nvSpPr>
        <xdr:cNvPr id="21" name="Rectangle: Rounded Corners 20">
          <a:extLst>
            <a:ext uri="{FF2B5EF4-FFF2-40B4-BE49-F238E27FC236}">
              <a16:creationId xmlns:a16="http://schemas.microsoft.com/office/drawing/2014/main" id="{EF98AEC9-C50D-4330-87EC-99DD68D06978}"/>
            </a:ext>
          </a:extLst>
        </xdr:cNvPr>
        <xdr:cNvSpPr/>
      </xdr:nvSpPr>
      <xdr:spPr>
        <a:xfrm>
          <a:off x="10919460" y="4792980"/>
          <a:ext cx="586740" cy="42672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E18F67A-11F4-4D90-B1BA-4CBD89099C81}" type="TxLink">
            <a:rPr lang="en-US" sz="1400" b="1" i="0" u="none" strike="noStrike">
              <a:ln>
                <a:noFill/>
              </a:ln>
              <a:solidFill>
                <a:schemeClr val="tx1"/>
              </a:solidFill>
              <a:latin typeface="Gill Sans MT"/>
            </a:rPr>
            <a:pPr algn="l"/>
            <a:t>366</a:t>
          </a:fld>
          <a:endParaRPr lang="en-IN" sz="1400" b="1">
            <a:ln>
              <a:noFill/>
            </a:ln>
            <a:solidFill>
              <a:schemeClr val="tx1"/>
            </a:solidFill>
          </a:endParaRPr>
        </a:p>
      </xdr:txBody>
    </xdr:sp>
    <xdr:clientData/>
  </xdr:twoCellAnchor>
  <xdr:twoCellAnchor>
    <xdr:from>
      <xdr:col>17</xdr:col>
      <xdr:colOff>541020</xdr:colOff>
      <xdr:row>24</xdr:row>
      <xdr:rowOff>106680</xdr:rowOff>
    </xdr:from>
    <xdr:to>
      <xdr:col>18</xdr:col>
      <xdr:colOff>594360</xdr:colOff>
      <xdr:row>25</xdr:row>
      <xdr:rowOff>220980</xdr:rowOff>
    </xdr:to>
    <xdr:sp macro="" textlink="Sheet6!$B$44">
      <xdr:nvSpPr>
        <xdr:cNvPr id="22" name="Rectangle: Rounded Corners 21">
          <a:extLst>
            <a:ext uri="{FF2B5EF4-FFF2-40B4-BE49-F238E27FC236}">
              <a16:creationId xmlns:a16="http://schemas.microsoft.com/office/drawing/2014/main" id="{1DD04D44-9830-4FFC-915B-929D7144F0A4}"/>
            </a:ext>
          </a:extLst>
        </xdr:cNvPr>
        <xdr:cNvSpPr/>
      </xdr:nvSpPr>
      <xdr:spPr>
        <a:xfrm>
          <a:off x="10904220" y="5593080"/>
          <a:ext cx="662940"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28E625EF-5234-43B0-95BA-40DDA0FFEDF0}" type="TxLink">
            <a:rPr lang="en-US" sz="1200" b="1" i="0" u="none" strike="noStrike">
              <a:solidFill>
                <a:schemeClr val="tx1"/>
              </a:solidFill>
              <a:latin typeface="Gill Sans MT"/>
            </a:rPr>
            <a:pPr algn="l"/>
            <a:t>1,607</a:t>
          </a:fld>
          <a:endParaRPr lang="en-IN" sz="1200" b="1">
            <a:solidFill>
              <a:schemeClr val="tx1"/>
            </a:solidFill>
          </a:endParaRPr>
        </a:p>
      </xdr:txBody>
    </xdr:sp>
    <xdr:clientData/>
  </xdr:twoCellAnchor>
  <xdr:twoCellAnchor editAs="oneCell">
    <xdr:from>
      <xdr:col>19</xdr:col>
      <xdr:colOff>220980</xdr:colOff>
      <xdr:row>17</xdr:row>
      <xdr:rowOff>144780</xdr:rowOff>
    </xdr:from>
    <xdr:to>
      <xdr:col>20</xdr:col>
      <xdr:colOff>259080</xdr:colOff>
      <xdr:row>19</xdr:row>
      <xdr:rowOff>152400</xdr:rowOff>
    </xdr:to>
    <xdr:pic>
      <xdr:nvPicPr>
        <xdr:cNvPr id="23" name="Graphic 22" descr="Bar chart with solid fill">
          <a:extLst>
            <a:ext uri="{FF2B5EF4-FFF2-40B4-BE49-F238E27FC236}">
              <a16:creationId xmlns:a16="http://schemas.microsoft.com/office/drawing/2014/main" id="{8DCCC14C-FAE7-47FA-BB59-9603C2B50E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803380" y="4030980"/>
          <a:ext cx="647700" cy="464820"/>
        </a:xfrm>
        <a:prstGeom prst="rect">
          <a:avLst/>
        </a:prstGeom>
      </xdr:spPr>
    </xdr:pic>
    <xdr:clientData/>
  </xdr:twoCellAnchor>
  <xdr:twoCellAnchor editAs="oneCell">
    <xdr:from>
      <xdr:col>19</xdr:col>
      <xdr:colOff>99060</xdr:colOff>
      <xdr:row>21</xdr:row>
      <xdr:rowOff>7620</xdr:rowOff>
    </xdr:from>
    <xdr:to>
      <xdr:col>20</xdr:col>
      <xdr:colOff>236220</xdr:colOff>
      <xdr:row>23</xdr:row>
      <xdr:rowOff>15240</xdr:rowOff>
    </xdr:to>
    <xdr:pic>
      <xdr:nvPicPr>
        <xdr:cNvPr id="24" name="Graphic 23" descr="Money with solid fill">
          <a:extLst>
            <a:ext uri="{FF2B5EF4-FFF2-40B4-BE49-F238E27FC236}">
              <a16:creationId xmlns:a16="http://schemas.microsoft.com/office/drawing/2014/main" id="{FF7D3349-4512-47F3-9E78-533FC4EE69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81460" y="4808220"/>
          <a:ext cx="746760" cy="464820"/>
        </a:xfrm>
        <a:prstGeom prst="rect">
          <a:avLst/>
        </a:prstGeom>
      </xdr:spPr>
    </xdr:pic>
    <xdr:clientData/>
  </xdr:twoCellAnchor>
  <xdr:twoCellAnchor editAs="oneCell">
    <xdr:from>
      <xdr:col>19</xdr:col>
      <xdr:colOff>91440</xdr:colOff>
      <xdr:row>24</xdr:row>
      <xdr:rowOff>68580</xdr:rowOff>
    </xdr:from>
    <xdr:to>
      <xdr:col>20</xdr:col>
      <xdr:colOff>228600</xdr:colOff>
      <xdr:row>26</xdr:row>
      <xdr:rowOff>137160</xdr:rowOff>
    </xdr:to>
    <xdr:pic>
      <xdr:nvPicPr>
        <xdr:cNvPr id="25" name="Graphic 24" descr="Books on shelf with solid fill">
          <a:extLst>
            <a:ext uri="{FF2B5EF4-FFF2-40B4-BE49-F238E27FC236}">
              <a16:creationId xmlns:a16="http://schemas.microsoft.com/office/drawing/2014/main" id="{1B9807FA-DECE-429E-8A5F-B54C986845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673840" y="5554980"/>
          <a:ext cx="746760" cy="525780"/>
        </a:xfrm>
        <a:prstGeom prst="rect">
          <a:avLst/>
        </a:prstGeom>
      </xdr:spPr>
    </xdr:pic>
    <xdr:clientData/>
  </xdr:twoCellAnchor>
  <xdr:twoCellAnchor editAs="oneCell">
    <xdr:from>
      <xdr:col>16</xdr:col>
      <xdr:colOff>323272</xdr:colOff>
      <xdr:row>8</xdr:row>
      <xdr:rowOff>107757</xdr:rowOff>
    </xdr:from>
    <xdr:to>
      <xdr:col>20</xdr:col>
      <xdr:colOff>342900</xdr:colOff>
      <xdr:row>16</xdr:row>
      <xdr:rowOff>7696</xdr:rowOff>
    </xdr:to>
    <xdr:pic>
      <xdr:nvPicPr>
        <xdr:cNvPr id="26" name="Picture 25">
          <a:extLst>
            <a:ext uri="{FF2B5EF4-FFF2-40B4-BE49-F238E27FC236}">
              <a16:creationId xmlns:a16="http://schemas.microsoft.com/office/drawing/2014/main" id="{FB5EE8EB-375F-4D06-845B-43E70490C7E1}"/>
            </a:ext>
          </a:extLst>
        </xdr:cNvPr>
        <xdr:cNvPicPr>
          <a:picLocks noChangeAspect="1"/>
        </xdr:cNvPicPr>
      </xdr:nvPicPr>
      <xdr:blipFill>
        <a:blip xmlns:r="http://schemas.openxmlformats.org/officeDocument/2006/relationships" r:embed="rId11"/>
        <a:stretch>
          <a:fillRect/>
        </a:stretch>
      </xdr:blipFill>
      <xdr:spPr>
        <a:xfrm>
          <a:off x="10052242" y="1955030"/>
          <a:ext cx="2451870" cy="1747211"/>
        </a:xfrm>
        <a:prstGeom prst="rect">
          <a:avLst/>
        </a:prstGeom>
        <a:ln>
          <a:solidFill>
            <a:schemeClr val="tx1"/>
          </a:solidFill>
        </a:ln>
      </xdr:spPr>
    </xdr:pic>
    <xdr:clientData/>
  </xdr:twoCellAnchor>
  <xdr:twoCellAnchor editAs="oneCell">
    <xdr:from>
      <xdr:col>3</xdr:col>
      <xdr:colOff>121920</xdr:colOff>
      <xdr:row>19</xdr:row>
      <xdr:rowOff>60960</xdr:rowOff>
    </xdr:from>
    <xdr:to>
      <xdr:col>5</xdr:col>
      <xdr:colOff>464820</xdr:colOff>
      <xdr:row>24</xdr:row>
      <xdr:rowOff>91440</xdr:rowOff>
    </xdr:to>
    <xdr:pic>
      <xdr:nvPicPr>
        <xdr:cNvPr id="30" name="Graphic 29" descr="Bar chart with solid fill">
          <a:extLst>
            <a:ext uri="{FF2B5EF4-FFF2-40B4-BE49-F238E27FC236}">
              <a16:creationId xmlns:a16="http://schemas.microsoft.com/office/drawing/2014/main" id="{B4494D5C-DFB0-4241-B377-B46C6E01713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50720" y="4404360"/>
          <a:ext cx="1562100" cy="1173480"/>
        </a:xfrm>
        <a:prstGeom prst="rect">
          <a:avLst/>
        </a:prstGeom>
      </xdr:spPr>
    </xdr:pic>
    <xdr:clientData/>
  </xdr:twoCellAnchor>
  <xdr:twoCellAnchor editAs="oneCell">
    <xdr:from>
      <xdr:col>14</xdr:col>
      <xdr:colOff>289560</xdr:colOff>
      <xdr:row>18</xdr:row>
      <xdr:rowOff>190500</xdr:rowOff>
    </xdr:from>
    <xdr:to>
      <xdr:col>17</xdr:col>
      <xdr:colOff>266700</xdr:colOff>
      <xdr:row>24</xdr:row>
      <xdr:rowOff>198120</xdr:rowOff>
    </xdr:to>
    <xdr:pic>
      <xdr:nvPicPr>
        <xdr:cNvPr id="31" name="Graphic 30" descr="Bar chart with solid fill">
          <a:extLst>
            <a:ext uri="{FF2B5EF4-FFF2-40B4-BE49-F238E27FC236}">
              <a16:creationId xmlns:a16="http://schemas.microsoft.com/office/drawing/2014/main" id="{A81A8132-0BC2-4EC8-ABB2-5931C50F30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23960" y="4305300"/>
          <a:ext cx="1805940" cy="1379220"/>
        </a:xfrm>
        <a:prstGeom prst="rect">
          <a:avLst/>
        </a:prstGeom>
      </xdr:spPr>
    </xdr:pic>
    <xdr:clientData/>
  </xdr:twoCellAnchor>
  <xdr:twoCellAnchor>
    <xdr:from>
      <xdr:col>6</xdr:col>
      <xdr:colOff>259080</xdr:colOff>
      <xdr:row>18</xdr:row>
      <xdr:rowOff>190500</xdr:rowOff>
    </xdr:from>
    <xdr:to>
      <xdr:col>13</xdr:col>
      <xdr:colOff>502920</xdr:colOff>
      <xdr:row>26</xdr:row>
      <xdr:rowOff>22860</xdr:rowOff>
    </xdr:to>
    <xdr:graphicFrame macro="">
      <xdr:nvGraphicFramePr>
        <xdr:cNvPr id="33" name="Chart 32">
          <a:extLst>
            <a:ext uri="{FF2B5EF4-FFF2-40B4-BE49-F238E27FC236}">
              <a16:creationId xmlns:a16="http://schemas.microsoft.com/office/drawing/2014/main" id="{CC1F7E4A-AE28-460F-88A7-15E2C0A20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38100</xdr:colOff>
      <xdr:row>10</xdr:row>
      <xdr:rowOff>60960</xdr:rowOff>
    </xdr:from>
    <xdr:to>
      <xdr:col>16</xdr:col>
      <xdr:colOff>46182</xdr:colOff>
      <xdr:row>16</xdr:row>
      <xdr:rowOff>38100</xdr:rowOff>
    </xdr:to>
    <xdr:graphicFrame macro="">
      <xdr:nvGraphicFramePr>
        <xdr:cNvPr id="35" name="Chart 34">
          <a:extLst>
            <a:ext uri="{FF2B5EF4-FFF2-40B4-BE49-F238E27FC236}">
              <a16:creationId xmlns:a16="http://schemas.microsoft.com/office/drawing/2014/main" id="{9175CB06-9593-4DF3-944D-FE2E36A50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83820</xdr:colOff>
      <xdr:row>10</xdr:row>
      <xdr:rowOff>45720</xdr:rowOff>
    </xdr:from>
    <xdr:to>
      <xdr:col>9</xdr:col>
      <xdr:colOff>281940</xdr:colOff>
      <xdr:row>16</xdr:row>
      <xdr:rowOff>129540</xdr:rowOff>
    </xdr:to>
    <xdr:graphicFrame macro="">
      <xdr:nvGraphicFramePr>
        <xdr:cNvPr id="37" name="Chart 36">
          <a:extLst>
            <a:ext uri="{FF2B5EF4-FFF2-40B4-BE49-F238E27FC236}">
              <a16:creationId xmlns:a16="http://schemas.microsoft.com/office/drawing/2014/main" id="{11026C2F-44E8-48E2-A738-2502B327B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138545</xdr:colOff>
      <xdr:row>20</xdr:row>
      <xdr:rowOff>15393</xdr:rowOff>
    </xdr:from>
    <xdr:to>
      <xdr:col>2</xdr:col>
      <xdr:colOff>284788</xdr:colOff>
      <xdr:row>23</xdr:row>
      <xdr:rowOff>76969</xdr:rowOff>
    </xdr:to>
    <xdr:sp macro="" textlink="">
      <xdr:nvSpPr>
        <xdr:cNvPr id="27" name="Rectangle: Rounded Corners 26">
          <a:hlinkClick xmlns:r="http://schemas.openxmlformats.org/officeDocument/2006/relationships" r:id="rId17"/>
          <a:extLst>
            <a:ext uri="{FF2B5EF4-FFF2-40B4-BE49-F238E27FC236}">
              <a16:creationId xmlns:a16="http://schemas.microsoft.com/office/drawing/2014/main" id="{B761B780-33C2-C19C-756A-757692028995}"/>
            </a:ext>
          </a:extLst>
        </xdr:cNvPr>
        <xdr:cNvSpPr/>
      </xdr:nvSpPr>
      <xdr:spPr>
        <a:xfrm>
          <a:off x="138545" y="4633575"/>
          <a:ext cx="1362364" cy="75430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ABOUT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nish Bhatt" refreshedDate="46041.963769560185" createdVersion="8" refreshedVersion="8" minRefreshableVersion="3" recordCount="366" xr:uid="{373FBA01-1DC9-44DB-86B2-FE3ADA81C9FE}">
  <cacheSource type="worksheet">
    <worksheetSource ref="A1:H367" sheet="Sheet3"/>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14T00:00:00" maxDate="2022-06-10T00:00:00" count="366">
        <d v="2021-01-14T00:00:00"/>
        <d v="2021-02-03T00:00:00"/>
        <d v="2021-02-05T00:00:00"/>
        <d v="2021-02-11T00:00:00"/>
        <d v="2021-02-22T00:00:00"/>
        <d v="2021-03-02T00:00:00"/>
        <d v="2021-03-04T00:00:00"/>
        <d v="2021-03-09T00:00:00"/>
        <d v="2021-03-16T00:00:00"/>
        <d v="2021-03-19T00:00:00"/>
        <d v="2021-03-25T00:00:00"/>
        <d v="2021-04-12T00:00:00"/>
        <d v="2021-04-14T00:00:00"/>
        <d v="2021-04-15T00:00:00"/>
        <d v="2021-04-29T00:00:00"/>
        <d v="2021-05-03T00:00:00"/>
        <d v="2021-05-06T00:00:00"/>
        <d v="2021-05-14T00:00:00"/>
        <d v="2021-05-17T00:00:00"/>
        <d v="2021-05-18T00:00:00"/>
        <d v="2021-05-25T00:00:00"/>
        <d v="2021-06-02T00:00:00"/>
        <d v="2021-06-03T00:00:00"/>
        <d v="2021-06-07T00:00:00"/>
        <d v="2021-06-10T00:00:00"/>
        <d v="2021-06-15T00:00:00"/>
        <d v="2021-06-24T00:00:00"/>
        <d v="2021-06-28T00:00:00"/>
        <d v="2021-07-13T00:00:00"/>
        <d v="2021-07-19T00:00:00"/>
        <d v="2021-07-27T00:00:00"/>
        <d v="2021-08-04T00:00:00"/>
        <d v="2021-08-12T00:00:00"/>
        <d v="2021-08-26T00:00:00"/>
        <d v="2021-08-27T00:00:00"/>
        <d v="2021-08-31T00:00:00"/>
        <d v="2021-09-13T00:00:00"/>
        <d v="2021-09-20T00:00:00"/>
        <d v="2021-09-21T00:00:00"/>
        <d v="2021-09-23T00:00:00"/>
        <d v="2021-09-24T00:00:00"/>
        <d v="2021-09-27T00:00:00"/>
        <d v="2021-09-28T00:00:00"/>
        <d v="2021-09-29T00:00:00"/>
        <d v="2021-09-30T00:00:00"/>
        <d v="2021-10-01T00:00:00"/>
        <d v="2021-10-08T00:00:00"/>
        <d v="2021-10-15T00:00:00"/>
        <d v="2021-10-27T00:00:00"/>
        <d v="2021-10-28T00:00:00"/>
        <d v="2021-11-03T00:00:00"/>
        <d v="2021-11-17T00:00:00"/>
        <d v="2021-11-18T00:00:00"/>
        <d v="2021-11-22T00:00:00"/>
        <d v="2021-11-29T00:00:00"/>
        <d v="2021-11-30T00:00:00"/>
        <d v="2021-12-03T00:00:00"/>
        <d v="2021-12-06T00:00:00"/>
        <d v="2021-12-08T00:00:00"/>
        <d v="2021-12-24T00:00:00"/>
        <d v="2022-01-03T00:00:00"/>
        <d v="2022-01-04T00:00:00"/>
        <d v="2022-01-05T00:00:00"/>
        <d v="2022-01-06T00:00:00"/>
        <d v="2022-01-13T00:00:00"/>
        <d v="2022-01-20T00:00:00"/>
        <d v="2022-02-04T00:00:00"/>
        <d v="2022-02-14T00:00:00"/>
        <d v="2022-02-17T00:00:00"/>
        <d v="2022-02-24T00:00:00"/>
        <d v="2022-03-14T00:00:00"/>
        <d v="2022-03-17T00:00:00"/>
        <d v="2022-03-18T00:00:00"/>
        <d v="2022-03-21T00:00:00"/>
        <d v="2022-03-23T00:00:00"/>
        <d v="2022-03-29T00:00:00"/>
        <d v="2022-04-12T00:00:00"/>
        <d v="2022-04-20T00:00:00"/>
        <d v="2022-04-28T00:00:00"/>
        <d v="2022-04-29T00:00:00"/>
        <d v="2022-05-04T00:00:00"/>
        <d v="2022-05-16T00:00:00"/>
        <d v="2022-06-08T00:00:00"/>
        <d v="2022-06-09T00:00:00"/>
        <d v="2021-01-21T00:00:00"/>
        <d v="2021-02-01T00:00:00"/>
        <d v="2021-02-10T00:00:00"/>
        <d v="2021-02-25T00:00:00"/>
        <d v="2021-03-10T00:00:00"/>
        <d v="2021-03-18T00:00:00"/>
        <d v="2021-03-31T00:00:00"/>
        <d v="2021-04-07T00:00:00"/>
        <d v="2021-04-30T00:00:00"/>
        <d v="2021-05-12T00:00:00"/>
        <d v="2021-06-17T00:00:00"/>
        <d v="2021-06-18T00:00:00"/>
        <d v="2021-07-01T00:00:00"/>
        <d v="2021-07-08T00:00:00"/>
        <d v="2021-07-22T00:00:00"/>
        <d v="2021-08-11T00:00:00"/>
        <d v="2021-08-30T00:00:00"/>
        <d v="2021-09-03T00:00:00"/>
        <d v="2021-09-14T00:00:00"/>
        <d v="2021-09-17T00:00:00"/>
        <d v="2021-10-20T00:00:00"/>
        <d v="2021-10-29T00:00:00"/>
        <d v="2021-12-22T00:00:00"/>
        <d v="2022-01-10T00:00:00"/>
        <d v="2022-01-14T00:00:00"/>
        <d v="2022-02-01T00:00:00"/>
        <d v="2022-02-21T00:00:00"/>
        <d v="2022-03-08T00:00:00"/>
        <d v="2022-03-11T00:00:00"/>
        <d v="2022-04-15T00:00:00"/>
        <d v="2022-05-03T00:00:00"/>
        <d v="2022-05-10T00:00:00"/>
        <d v="2022-05-20T00:00:00"/>
        <d v="2022-06-02T00:00:00"/>
        <d v="2022-05-19T00:00:00"/>
        <d v="2021-01-22T00:00:00"/>
        <d v="2021-02-09T00:00:00"/>
        <d v="2021-02-26T00:00:00"/>
        <d v="2021-04-06T00:00:00"/>
        <d v="2021-05-26T00:00:00"/>
        <d v="2021-06-01T00:00:00"/>
        <d v="2021-06-09T00:00:00"/>
        <d v="2021-07-14T00:00:00"/>
        <d v="2021-07-23T00:00:00"/>
        <d v="2021-08-02T00:00:00"/>
        <d v="2021-08-03T00:00:00"/>
        <d v="2021-08-16T00:00:00"/>
        <d v="2021-10-12T00:00:00"/>
        <d v="2021-10-13T00:00:00"/>
        <d v="2021-10-19T00:00:00"/>
        <d v="2021-11-16T00:00:00"/>
        <d v="2021-11-25T00:00:00"/>
        <d v="2021-12-01T00:00:00"/>
        <d v="2021-12-02T00:00:00"/>
        <d v="2021-12-29T00:00:00"/>
        <d v="2022-01-07T00:00:00"/>
        <d v="2022-01-18T00:00:00"/>
        <d v="2022-01-21T00:00:00"/>
        <d v="2022-01-24T00:00:00"/>
        <d v="2022-01-25T00:00:00"/>
        <d v="2022-02-02T00:00:00"/>
        <d v="2022-02-11T00:00:00"/>
        <d v="2022-02-16T00:00:00"/>
        <d v="2022-03-15T00:00:00"/>
        <d v="2022-03-16T00:00:00"/>
        <d v="2022-04-01T00:00:00"/>
        <d v="2022-04-18T00:00:00"/>
        <d v="2022-06-03T00:00:00"/>
        <d v="2021-01-20T00:00:00"/>
        <d v="2021-02-24T00:00:00"/>
        <d v="2021-03-26T00:00:00"/>
        <d v="2021-04-13T00:00:00"/>
        <d v="2021-04-26T00:00:00"/>
        <d v="2021-05-24T00:00:00"/>
        <d v="2021-05-27T00:00:00"/>
        <d v="2021-06-04T00:00:00"/>
        <d v="2021-07-09T00:00:00"/>
        <d v="2021-07-21T00:00:00"/>
        <d v="2021-07-28T00:00:00"/>
        <d v="2021-07-29T00:00:00"/>
        <d v="2021-08-18T00:00:00"/>
        <d v="2021-08-24T00:00:00"/>
        <d v="2021-09-08T00:00:00"/>
        <d v="2021-09-10T00:00:00"/>
        <d v="2021-10-07T00:00:00"/>
        <d v="2021-10-21T00:00:00"/>
        <d v="2021-11-02T00:00:00"/>
        <d v="2021-11-15T00:00:00"/>
        <d v="2021-11-24T00:00:00"/>
        <d v="2021-12-21T00:00:00"/>
        <d v="2021-12-23T00:00:00"/>
        <d v="2021-12-30T00:00:00"/>
        <d v="2022-01-11T00:00:00"/>
        <d v="2022-01-26T00:00:00"/>
        <d v="2022-01-31T00:00:00"/>
        <d v="2022-02-15T00:00:00"/>
        <d v="2022-02-18T00:00:00"/>
        <d v="2022-03-04T00:00:00"/>
        <d v="2022-03-25T00:00:00"/>
        <d v="2022-03-28T00:00:00"/>
        <d v="2022-04-14T00:00:00"/>
        <d v="2022-06-01T00:00:00"/>
        <d v="2021-01-15T00:00:00"/>
        <d v="2021-01-18T00:00:00"/>
        <d v="2021-01-19T00:00:00"/>
        <d v="2021-02-04T00:00:00"/>
        <d v="2021-02-12T00:00:00"/>
        <d v="2021-02-23T00:00:00"/>
        <d v="2021-03-08T00:00:00"/>
        <d v="2021-03-11T00:00:00"/>
        <d v="2021-03-12T00:00:00"/>
        <d v="2021-03-15T00:00:00"/>
        <d v="2021-04-02T00:00:00"/>
        <d v="2021-04-08T00:00:00"/>
        <d v="2021-04-16T00:00:00"/>
        <d v="2021-04-19T00:00:00"/>
        <d v="2021-04-20T00:00:00"/>
        <d v="2021-04-21T00:00:00"/>
        <d v="2021-04-22T00:00:00"/>
        <d v="2021-04-23T00:00:00"/>
        <d v="2021-04-28T00:00:00"/>
        <d v="2021-05-07T00:00:00"/>
        <d v="2021-05-11T00:00:00"/>
        <d v="2021-05-19T00:00:00"/>
        <d v="2021-05-20T00:00:00"/>
        <d v="2021-05-28T00:00:00"/>
        <d v="2021-05-31T00:00:00"/>
        <d v="2021-06-11T00:00:00"/>
        <d v="2021-06-16T00:00:00"/>
        <d v="2021-06-25T00:00:00"/>
        <d v="2021-07-02T00:00:00"/>
        <d v="2021-07-12T00:00:00"/>
        <d v="2021-07-20T00:00:00"/>
        <d v="2021-08-10T00:00:00"/>
        <d v="2021-08-19T00:00:00"/>
        <d v="2021-08-25T00:00:00"/>
        <d v="2021-09-07T00:00:00"/>
        <d v="2021-09-15T00:00:00"/>
        <d v="2021-10-04T00:00:00"/>
        <d v="2021-10-05T00:00:00"/>
        <d v="2021-10-18T00:00:00"/>
        <d v="2021-10-22T00:00:00"/>
        <d v="2021-10-26T00:00:00"/>
        <d v="2021-11-04T00:00:00"/>
        <d v="2021-11-05T00:00:00"/>
        <d v="2021-11-08T00:00:00"/>
        <d v="2021-11-09T00:00:00"/>
        <d v="2021-11-10T00:00:00"/>
        <d v="2021-11-11T00:00:00"/>
        <d v="2021-11-12T00:00:00"/>
        <d v="2021-11-23T00:00:00"/>
        <d v="2021-12-09T00:00:00"/>
        <d v="2021-12-10T00:00:00"/>
        <d v="2021-12-13T00:00:00"/>
        <d v="2021-12-14T00:00:00"/>
        <d v="2021-12-15T00:00:00"/>
        <d v="2021-12-16T00:00:00"/>
        <d v="2021-12-17T00:00:00"/>
        <d v="2021-12-20T00:00:00"/>
        <d v="2022-01-12T00:00:00"/>
        <d v="2022-01-17T00:00:00"/>
        <d v="2022-01-19T00:00:00"/>
        <d v="2022-01-28T00:00:00"/>
        <d v="2022-02-07T00:00:00"/>
        <d v="2022-02-08T00:00:00"/>
        <d v="2022-02-09T00:00:00"/>
        <d v="2022-02-22T00:00:00"/>
        <d v="2022-02-25T00:00:00"/>
        <d v="2022-03-03T00:00:00"/>
        <d v="2022-03-07T00:00:00"/>
        <d v="2022-03-10T00:00:00"/>
        <d v="2022-03-30T00:00:00"/>
        <d v="2022-04-13T00:00:00"/>
        <d v="2022-04-25T00:00:00"/>
        <d v="2022-04-26T00:00:00"/>
        <d v="2022-04-27T00:00:00"/>
        <d v="2022-05-12T00:00:00"/>
        <d v="2022-05-13T00:00:00"/>
        <d v="2022-05-17T00:00:00"/>
        <d v="2022-05-23T00:00:00"/>
        <d v="2022-05-24T00:00:00"/>
        <d v="2022-05-25T00:00:00"/>
        <d v="2022-05-26T00:00:00"/>
        <d v="2022-05-27T00:00:00"/>
        <d v="2022-05-30T00:00:00"/>
        <d v="2022-05-31T00:00:00"/>
        <d v="2021-01-25T00:00:00"/>
        <d v="2021-01-26T00:00:00"/>
        <d v="2021-01-27T00:00:00"/>
        <d v="2021-01-28T00:00:00"/>
        <d v="2021-01-29T00:00:00"/>
        <d v="2021-02-02T00:00:00"/>
        <d v="2021-02-08T00:00:00"/>
        <d v="2021-02-15T00:00:00"/>
        <d v="2021-02-16T00:00:00"/>
        <d v="2021-02-17T00:00:00"/>
        <d v="2021-02-18T00:00:00"/>
        <d v="2021-02-19T00:00:00"/>
        <d v="2021-03-01T00:00:00"/>
        <d v="2021-03-03T00:00:00"/>
        <d v="2021-03-05T00:00:00"/>
        <d v="2021-03-17T00:00:00"/>
        <d v="2021-03-22T00:00:00"/>
        <d v="2021-03-23T00:00:00"/>
        <d v="2021-03-24T00:00:00"/>
        <d v="2021-03-29T00:00:00"/>
        <d v="2021-03-30T00:00:00"/>
        <d v="2021-04-01T00:00:00"/>
        <d v="2021-04-05T00:00:00"/>
        <d v="2021-04-09T00:00:00"/>
        <d v="2021-04-27T00:00:00"/>
        <d v="2021-05-04T00:00:00"/>
        <d v="2021-05-05T00:00:00"/>
        <d v="2021-05-10T00:00:00"/>
        <d v="2021-05-13T00:00:00"/>
        <d v="2021-05-21T00:00:00"/>
        <d v="2021-06-08T00:00:00"/>
        <d v="2021-06-14T00:00:00"/>
        <d v="2021-06-21T00:00:00"/>
        <d v="2021-06-22T00:00:00"/>
        <d v="2021-06-23T00:00:00"/>
        <d v="2021-06-29T00:00:00"/>
        <d v="2021-06-30T00:00:00"/>
        <d v="2021-07-05T00:00:00"/>
        <d v="2021-07-06T00:00:00"/>
        <d v="2021-07-07T00:00:00"/>
        <d v="2021-07-15T00:00:00"/>
        <d v="2021-07-16T00:00:00"/>
        <d v="2021-07-26T00:00:00"/>
        <d v="2021-07-30T00:00:00"/>
        <d v="2021-08-05T00:00:00"/>
        <d v="2021-08-06T00:00:00"/>
        <d v="2021-08-09T00:00:00"/>
        <d v="2021-08-13T00:00:00"/>
        <d v="2021-08-17T00:00:00"/>
        <d v="2021-08-20T00:00:00"/>
        <d v="2021-08-23T00:00:00"/>
        <d v="2021-09-01T00:00:00"/>
        <d v="2021-09-02T00:00:00"/>
        <d v="2021-09-06T00:00:00"/>
        <d v="2021-09-09T00:00:00"/>
        <d v="2021-09-16T00:00:00"/>
        <d v="2021-09-22T00:00:00"/>
        <d v="2021-10-06T00:00:00"/>
        <d v="2021-10-11T00:00:00"/>
        <d v="2021-10-14T00:00:00"/>
        <d v="2021-10-25T00:00:00"/>
        <d v="2021-11-01T00:00:00"/>
        <d v="2021-11-19T00:00:00"/>
        <d v="2021-11-26T00:00:00"/>
        <d v="2021-12-07T00:00:00"/>
        <d v="2021-12-27T00:00:00"/>
        <d v="2021-12-28T00:00:00"/>
        <d v="2021-12-31T00:00:00"/>
        <d v="2022-01-27T00:00:00"/>
        <d v="2022-02-03T00:00:00"/>
        <d v="2022-02-10T00:00:00"/>
        <d v="2022-02-23T00:00:00"/>
        <d v="2022-02-28T00:00:00"/>
        <d v="2022-03-01T00:00:00"/>
        <d v="2022-03-02T00:00:00"/>
        <d v="2022-03-09T00:00:00"/>
        <d v="2022-03-22T00:00:00"/>
        <d v="2022-03-24T00:00:00"/>
        <d v="2022-03-31T00:00:00"/>
        <d v="2022-04-04T00:00:00"/>
        <d v="2022-04-05T00:00:00"/>
        <d v="2022-04-06T00:00:00"/>
        <d v="2022-04-07T00:00:00"/>
        <d v="2022-04-08T00:00:00"/>
        <d v="2022-04-11T00:00:00"/>
        <d v="2022-04-19T00:00:00"/>
        <d v="2022-04-21T00:00:00"/>
        <d v="2022-04-22T00:00:00"/>
        <d v="2022-05-02T00:00:00"/>
        <d v="2022-05-05T00:00:00"/>
        <d v="2022-05-06T00:00:00"/>
        <d v="2022-05-09T00:00:00"/>
        <d v="2022-05-11T00:00:00"/>
        <d v="2022-05-18T00:00:00"/>
        <d v="2022-06-06T00:00:00"/>
        <d v="2022-06-07T00:00:00"/>
      </sharedItems>
      <fieldGroup par="10"/>
    </cacheField>
    <cacheField name="Salesman" numFmtId="0">
      <sharedItems count="7">
        <s v="Ajit Kumar"/>
        <s v="Amit"/>
        <s v="Avnish bhatt"/>
        <s v="Chandu"/>
        <s v="Ramesh"/>
        <s v="Rohit Das"/>
        <s v="Siddhu"/>
      </sharedItems>
    </cacheField>
    <cacheField name="Region" numFmtId="0">
      <sharedItems count="4">
        <s v="East"/>
        <s v="South"/>
        <s v="North"/>
        <s v="West"/>
      </sharedItems>
    </cacheField>
    <cacheField name="Item" numFmtId="0">
      <sharedItems count="6">
        <s v="Printer"/>
        <s v="Monitor"/>
        <s v="Scanner"/>
        <s v="Speaker"/>
        <s v="Mouse"/>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70" maxValue="2100" count="8">
        <n v="2100"/>
        <n v="1500"/>
        <n v="1200"/>
        <n v="300"/>
        <n v="210"/>
        <n v="200"/>
        <n v="190"/>
        <n v="170"/>
      </sharedItems>
    </cacheField>
    <cacheField name="Amount" numFmtId="164">
      <sharedItems containsSemiMixedTypes="0" containsString="0" containsNumber="1" containsInteger="1" minValue="340" maxValue="14700"/>
    </cacheField>
    <cacheField name="Months (Date)" numFmtId="0" databaseField="0">
      <fieldGroup base="1">
        <rangePr groupBy="months" startDate="2021-01-14T00:00:00" endDate="2022-06-10T00:00:00"/>
        <groupItems count="14">
          <s v="&lt;14-01-2021"/>
          <s v="Jan"/>
          <s v="Feb"/>
          <s v="Mar"/>
          <s v="Apr"/>
          <s v="May"/>
          <s v="Jun"/>
          <s v="Jul"/>
          <s v="Aug"/>
          <s v="Sep"/>
          <s v="Oct"/>
          <s v="Nov"/>
          <s v="Dec"/>
          <s v="&gt;10-06-2022"/>
        </groupItems>
      </fieldGroup>
    </cacheField>
    <cacheField name="Quarters (Date)" numFmtId="0" databaseField="0">
      <fieldGroup base="1">
        <rangePr groupBy="quarters" startDate="2021-01-14T00:00:00" endDate="2022-06-10T00:00:00"/>
        <groupItems count="6">
          <s v="&lt;14-01-2021"/>
          <s v="Qtr1"/>
          <s v="Qtr2"/>
          <s v="Qtr3"/>
          <s v="Qtr4"/>
          <s v="&gt;10-06-2022"/>
        </groupItems>
      </fieldGroup>
    </cacheField>
    <cacheField name="Years (Date)" numFmtId="0" databaseField="0">
      <fieldGroup base="1">
        <rangePr groupBy="years" startDate="2021-01-14T00:00:00" endDate="2022-06-10T00:00:00"/>
        <groupItems count="4">
          <s v="&lt;14-01-2021"/>
          <s v="2021"/>
          <s v="2022"/>
          <s v="&gt;10-06-2022"/>
        </groupItems>
      </fieldGroup>
    </cacheField>
  </cacheFields>
  <extLst>
    <ext xmlns:x14="http://schemas.microsoft.com/office/spreadsheetml/2009/9/main" uri="{725AE2AE-9491-48be-B2B4-4EB974FC3084}">
      <x14:pivotCacheDefinition pivotCacheId="369466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4"/>
    <x v="0"/>
    <x v="0"/>
    <x v="0"/>
    <x v="0"/>
    <n v="7"/>
    <x v="0"/>
    <n v="14700"/>
  </r>
  <r>
    <n v="139"/>
    <x v="1"/>
    <x v="0"/>
    <x v="0"/>
    <x v="0"/>
    <n v="7"/>
    <x v="0"/>
    <n v="14700"/>
  </r>
  <r>
    <n v="189"/>
    <x v="2"/>
    <x v="0"/>
    <x v="0"/>
    <x v="0"/>
    <n v="7"/>
    <x v="0"/>
    <n v="14700"/>
  </r>
  <r>
    <n v="246"/>
    <x v="3"/>
    <x v="0"/>
    <x v="1"/>
    <x v="0"/>
    <n v="7"/>
    <x v="0"/>
    <n v="14700"/>
  </r>
  <r>
    <n v="271"/>
    <x v="4"/>
    <x v="0"/>
    <x v="0"/>
    <x v="0"/>
    <n v="7"/>
    <x v="0"/>
    <n v="14700"/>
  </r>
  <r>
    <n v="277"/>
    <x v="5"/>
    <x v="0"/>
    <x v="0"/>
    <x v="0"/>
    <n v="7"/>
    <x v="0"/>
    <n v="14700"/>
  </r>
  <r>
    <n v="20"/>
    <x v="6"/>
    <x v="0"/>
    <x v="0"/>
    <x v="1"/>
    <n v="7"/>
    <x v="0"/>
    <n v="14700"/>
  </r>
  <r>
    <n v="195"/>
    <x v="7"/>
    <x v="0"/>
    <x v="2"/>
    <x v="1"/>
    <n v="7"/>
    <x v="0"/>
    <n v="14700"/>
  </r>
  <r>
    <n v="27"/>
    <x v="8"/>
    <x v="0"/>
    <x v="0"/>
    <x v="0"/>
    <n v="6"/>
    <x v="0"/>
    <n v="12600"/>
  </r>
  <r>
    <n v="83"/>
    <x v="9"/>
    <x v="0"/>
    <x v="2"/>
    <x v="0"/>
    <n v="6"/>
    <x v="0"/>
    <n v="12600"/>
  </r>
  <r>
    <n v="109"/>
    <x v="10"/>
    <x v="0"/>
    <x v="0"/>
    <x v="0"/>
    <n v="6"/>
    <x v="0"/>
    <n v="12600"/>
  </r>
  <r>
    <n v="302"/>
    <x v="11"/>
    <x v="0"/>
    <x v="3"/>
    <x v="0"/>
    <n v="6"/>
    <x v="0"/>
    <n v="12600"/>
  </r>
  <r>
    <n v="352"/>
    <x v="12"/>
    <x v="0"/>
    <x v="3"/>
    <x v="0"/>
    <n v="6"/>
    <x v="0"/>
    <n v="12600"/>
  </r>
  <r>
    <n v="358"/>
    <x v="13"/>
    <x v="0"/>
    <x v="1"/>
    <x v="0"/>
    <n v="6"/>
    <x v="0"/>
    <n v="12600"/>
  </r>
  <r>
    <n v="141"/>
    <x v="14"/>
    <x v="0"/>
    <x v="2"/>
    <x v="2"/>
    <n v="5"/>
    <x v="1"/>
    <n v="7500"/>
  </r>
  <r>
    <n v="191"/>
    <x v="15"/>
    <x v="0"/>
    <x v="2"/>
    <x v="2"/>
    <n v="5"/>
    <x v="1"/>
    <n v="7500"/>
  </r>
  <r>
    <n v="248"/>
    <x v="16"/>
    <x v="0"/>
    <x v="3"/>
    <x v="2"/>
    <n v="5"/>
    <x v="1"/>
    <n v="7500"/>
  </r>
  <r>
    <n v="297"/>
    <x v="17"/>
    <x v="0"/>
    <x v="0"/>
    <x v="2"/>
    <n v="5"/>
    <x v="1"/>
    <n v="7500"/>
  </r>
  <r>
    <n v="299"/>
    <x v="18"/>
    <x v="0"/>
    <x v="2"/>
    <x v="2"/>
    <n v="5"/>
    <x v="1"/>
    <n v="7500"/>
  </r>
  <r>
    <n v="301"/>
    <x v="19"/>
    <x v="0"/>
    <x v="0"/>
    <x v="2"/>
    <n v="5"/>
    <x v="1"/>
    <n v="7500"/>
  </r>
  <r>
    <n v="196"/>
    <x v="20"/>
    <x v="0"/>
    <x v="1"/>
    <x v="2"/>
    <n v="6"/>
    <x v="2"/>
    <n v="7200"/>
  </r>
  <r>
    <n v="115"/>
    <x v="21"/>
    <x v="0"/>
    <x v="0"/>
    <x v="1"/>
    <n v="6"/>
    <x v="2"/>
    <n v="7200"/>
  </r>
  <r>
    <n v="140"/>
    <x v="22"/>
    <x v="0"/>
    <x v="3"/>
    <x v="1"/>
    <n v="6"/>
    <x v="2"/>
    <n v="7200"/>
  </r>
  <r>
    <n v="190"/>
    <x v="23"/>
    <x v="0"/>
    <x v="3"/>
    <x v="1"/>
    <n v="6"/>
    <x v="2"/>
    <n v="7200"/>
  </r>
  <r>
    <n v="247"/>
    <x v="24"/>
    <x v="0"/>
    <x v="0"/>
    <x v="1"/>
    <n v="6"/>
    <x v="2"/>
    <n v="7200"/>
  </r>
  <r>
    <n v="290"/>
    <x v="25"/>
    <x v="0"/>
    <x v="0"/>
    <x v="1"/>
    <n v="6"/>
    <x v="2"/>
    <n v="7200"/>
  </r>
  <r>
    <n v="85"/>
    <x v="26"/>
    <x v="0"/>
    <x v="0"/>
    <x v="2"/>
    <n v="4"/>
    <x v="1"/>
    <n v="6000"/>
  </r>
  <r>
    <n v="135"/>
    <x v="27"/>
    <x v="0"/>
    <x v="0"/>
    <x v="2"/>
    <n v="4"/>
    <x v="1"/>
    <n v="6000"/>
  </r>
  <r>
    <n v="304"/>
    <x v="28"/>
    <x v="0"/>
    <x v="1"/>
    <x v="2"/>
    <n v="4"/>
    <x v="1"/>
    <n v="6000"/>
  </r>
  <r>
    <n v="338"/>
    <x v="29"/>
    <x v="0"/>
    <x v="0"/>
    <x v="2"/>
    <n v="4"/>
    <x v="1"/>
    <n v="6000"/>
  </r>
  <r>
    <n v="354"/>
    <x v="30"/>
    <x v="0"/>
    <x v="1"/>
    <x v="2"/>
    <n v="4"/>
    <x v="1"/>
    <n v="6000"/>
  </r>
  <r>
    <n v="84"/>
    <x v="31"/>
    <x v="0"/>
    <x v="1"/>
    <x v="1"/>
    <n v="5"/>
    <x v="2"/>
    <n v="6000"/>
  </r>
  <r>
    <n v="128"/>
    <x v="32"/>
    <x v="0"/>
    <x v="0"/>
    <x v="1"/>
    <n v="5"/>
    <x v="2"/>
    <n v="6000"/>
  </r>
  <r>
    <n v="284"/>
    <x v="33"/>
    <x v="0"/>
    <x v="0"/>
    <x v="1"/>
    <n v="5"/>
    <x v="2"/>
    <n v="6000"/>
  </r>
  <r>
    <n v="303"/>
    <x v="34"/>
    <x v="0"/>
    <x v="2"/>
    <x v="1"/>
    <n v="5"/>
    <x v="2"/>
    <n v="6000"/>
  </r>
  <r>
    <n v="353"/>
    <x v="35"/>
    <x v="0"/>
    <x v="2"/>
    <x v="1"/>
    <n v="5"/>
    <x v="2"/>
    <n v="6000"/>
  </r>
  <r>
    <n v="122"/>
    <x v="36"/>
    <x v="0"/>
    <x v="0"/>
    <x v="3"/>
    <n v="5"/>
    <x v="3"/>
    <n v="1500"/>
  </r>
  <r>
    <n v="1"/>
    <x v="37"/>
    <x v="0"/>
    <x v="0"/>
    <x v="4"/>
    <n v="7"/>
    <x v="4"/>
    <n v="1470"/>
  </r>
  <r>
    <n v="7"/>
    <x v="38"/>
    <x v="0"/>
    <x v="0"/>
    <x v="4"/>
    <n v="7"/>
    <x v="4"/>
    <n v="1470"/>
  </r>
  <r>
    <n v="28"/>
    <x v="39"/>
    <x v="0"/>
    <x v="3"/>
    <x v="4"/>
    <n v="7"/>
    <x v="4"/>
    <n v="1470"/>
  </r>
  <r>
    <n v="29"/>
    <x v="40"/>
    <x v="0"/>
    <x v="2"/>
    <x v="4"/>
    <n v="7"/>
    <x v="4"/>
    <n v="1470"/>
  </r>
  <r>
    <n v="30"/>
    <x v="41"/>
    <x v="0"/>
    <x v="1"/>
    <x v="4"/>
    <n v="7"/>
    <x v="4"/>
    <n v="1470"/>
  </r>
  <r>
    <n v="31"/>
    <x v="42"/>
    <x v="0"/>
    <x v="0"/>
    <x v="4"/>
    <n v="7"/>
    <x v="4"/>
    <n v="1470"/>
  </r>
  <r>
    <n v="32"/>
    <x v="43"/>
    <x v="0"/>
    <x v="3"/>
    <x v="4"/>
    <n v="7"/>
    <x v="4"/>
    <n v="1470"/>
  </r>
  <r>
    <n v="33"/>
    <x v="44"/>
    <x v="0"/>
    <x v="2"/>
    <x v="4"/>
    <n v="7"/>
    <x v="4"/>
    <n v="1470"/>
  </r>
  <r>
    <n v="34"/>
    <x v="45"/>
    <x v="0"/>
    <x v="1"/>
    <x v="4"/>
    <n v="7"/>
    <x v="4"/>
    <n v="1470"/>
  </r>
  <r>
    <n v="82"/>
    <x v="46"/>
    <x v="0"/>
    <x v="3"/>
    <x v="4"/>
    <n v="7"/>
    <x v="4"/>
    <n v="1470"/>
  </r>
  <r>
    <n v="176"/>
    <x v="47"/>
    <x v="0"/>
    <x v="0"/>
    <x v="4"/>
    <n v="7"/>
    <x v="4"/>
    <n v="1470"/>
  </r>
  <r>
    <n v="351"/>
    <x v="48"/>
    <x v="0"/>
    <x v="0"/>
    <x v="4"/>
    <n v="7"/>
    <x v="4"/>
    <n v="1470"/>
  </r>
  <r>
    <n v="357"/>
    <x v="49"/>
    <x v="0"/>
    <x v="2"/>
    <x v="4"/>
    <n v="7"/>
    <x v="4"/>
    <n v="1470"/>
  </r>
  <r>
    <n v="142"/>
    <x v="50"/>
    <x v="0"/>
    <x v="1"/>
    <x v="3"/>
    <n v="4"/>
    <x v="3"/>
    <n v="1200"/>
  </r>
  <r>
    <n v="192"/>
    <x v="51"/>
    <x v="0"/>
    <x v="1"/>
    <x v="3"/>
    <n v="4"/>
    <x v="3"/>
    <n v="1200"/>
  </r>
  <r>
    <n v="217"/>
    <x v="52"/>
    <x v="0"/>
    <x v="0"/>
    <x v="3"/>
    <n v="4"/>
    <x v="3"/>
    <n v="1200"/>
  </r>
  <r>
    <n v="249"/>
    <x v="53"/>
    <x v="0"/>
    <x v="2"/>
    <x v="3"/>
    <n v="4"/>
    <x v="3"/>
    <n v="1200"/>
  </r>
  <r>
    <n v="298"/>
    <x v="54"/>
    <x v="0"/>
    <x v="3"/>
    <x v="3"/>
    <n v="4"/>
    <x v="3"/>
    <n v="1200"/>
  </r>
  <r>
    <n v="300"/>
    <x v="55"/>
    <x v="0"/>
    <x v="1"/>
    <x v="3"/>
    <n v="4"/>
    <x v="3"/>
    <n v="1200"/>
  </r>
  <r>
    <n v="55"/>
    <x v="56"/>
    <x v="0"/>
    <x v="0"/>
    <x v="3"/>
    <n v="3"/>
    <x v="3"/>
    <n v="900"/>
  </r>
  <r>
    <n v="61"/>
    <x v="57"/>
    <x v="0"/>
    <x v="0"/>
    <x v="3"/>
    <n v="3"/>
    <x v="3"/>
    <n v="900"/>
  </r>
  <r>
    <n v="86"/>
    <x v="58"/>
    <x v="0"/>
    <x v="3"/>
    <x v="3"/>
    <n v="3"/>
    <x v="3"/>
    <n v="900"/>
  </r>
  <r>
    <n v="136"/>
    <x v="59"/>
    <x v="0"/>
    <x v="3"/>
    <x v="3"/>
    <n v="3"/>
    <x v="3"/>
    <n v="900"/>
  </r>
  <r>
    <n v="230"/>
    <x v="60"/>
    <x v="0"/>
    <x v="0"/>
    <x v="3"/>
    <n v="3"/>
    <x v="3"/>
    <n v="900"/>
  </r>
  <r>
    <n v="236"/>
    <x v="61"/>
    <x v="0"/>
    <x v="0"/>
    <x v="3"/>
    <n v="3"/>
    <x v="3"/>
    <n v="900"/>
  </r>
  <r>
    <n v="243"/>
    <x v="62"/>
    <x v="0"/>
    <x v="0"/>
    <x v="3"/>
    <n v="3"/>
    <x v="3"/>
    <n v="900"/>
  </r>
  <r>
    <n v="250"/>
    <x v="63"/>
    <x v="0"/>
    <x v="1"/>
    <x v="3"/>
    <n v="3"/>
    <x v="3"/>
    <n v="900"/>
  </r>
  <r>
    <n v="355"/>
    <x v="64"/>
    <x v="0"/>
    <x v="0"/>
    <x v="3"/>
    <n v="3"/>
    <x v="3"/>
    <n v="900"/>
  </r>
  <r>
    <n v="223"/>
    <x v="65"/>
    <x v="0"/>
    <x v="0"/>
    <x v="5"/>
    <n v="4"/>
    <x v="5"/>
    <n v="800"/>
  </r>
  <r>
    <n v="182"/>
    <x v="66"/>
    <x v="0"/>
    <x v="0"/>
    <x v="4"/>
    <n v="3"/>
    <x v="6"/>
    <n v="570"/>
  </r>
  <r>
    <n v="68"/>
    <x v="67"/>
    <x v="0"/>
    <x v="0"/>
    <x v="5"/>
    <n v="3"/>
    <x v="6"/>
    <n v="570"/>
  </r>
  <r>
    <n v="74"/>
    <x v="68"/>
    <x v="0"/>
    <x v="0"/>
    <x v="5"/>
    <n v="3"/>
    <x v="6"/>
    <n v="570"/>
  </r>
  <r>
    <n v="193"/>
    <x v="69"/>
    <x v="0"/>
    <x v="0"/>
    <x v="5"/>
    <n v="3"/>
    <x v="6"/>
    <n v="570"/>
  </r>
  <r>
    <n v="88"/>
    <x v="70"/>
    <x v="0"/>
    <x v="1"/>
    <x v="4"/>
    <n v="2"/>
    <x v="4"/>
    <n v="420"/>
  </r>
  <r>
    <n v="138"/>
    <x v="71"/>
    <x v="0"/>
    <x v="1"/>
    <x v="4"/>
    <n v="2"/>
    <x v="4"/>
    <n v="420"/>
  </r>
  <r>
    <n v="163"/>
    <x v="72"/>
    <x v="0"/>
    <x v="0"/>
    <x v="4"/>
    <n v="2"/>
    <x v="4"/>
    <n v="420"/>
  </r>
  <r>
    <n v="169"/>
    <x v="73"/>
    <x v="0"/>
    <x v="0"/>
    <x v="4"/>
    <n v="2"/>
    <x v="4"/>
    <n v="420"/>
  </r>
  <r>
    <n v="194"/>
    <x v="74"/>
    <x v="0"/>
    <x v="3"/>
    <x v="4"/>
    <n v="2"/>
    <x v="4"/>
    <n v="420"/>
  </r>
  <r>
    <n v="245"/>
    <x v="75"/>
    <x v="0"/>
    <x v="2"/>
    <x v="4"/>
    <n v="2"/>
    <x v="4"/>
    <n v="420"/>
  </r>
  <r>
    <n v="325"/>
    <x v="76"/>
    <x v="0"/>
    <x v="0"/>
    <x v="4"/>
    <n v="2"/>
    <x v="4"/>
    <n v="420"/>
  </r>
  <r>
    <n v="344"/>
    <x v="77"/>
    <x v="0"/>
    <x v="0"/>
    <x v="4"/>
    <n v="2"/>
    <x v="4"/>
    <n v="420"/>
  </r>
  <r>
    <n v="81"/>
    <x v="78"/>
    <x v="0"/>
    <x v="0"/>
    <x v="5"/>
    <n v="2"/>
    <x v="6"/>
    <n v="380"/>
  </r>
  <r>
    <n v="87"/>
    <x v="79"/>
    <x v="0"/>
    <x v="2"/>
    <x v="5"/>
    <n v="2"/>
    <x v="6"/>
    <n v="380"/>
  </r>
  <r>
    <n v="137"/>
    <x v="80"/>
    <x v="0"/>
    <x v="2"/>
    <x v="5"/>
    <n v="2"/>
    <x v="6"/>
    <n v="380"/>
  </r>
  <r>
    <n v="244"/>
    <x v="81"/>
    <x v="0"/>
    <x v="3"/>
    <x v="5"/>
    <n v="2"/>
    <x v="6"/>
    <n v="380"/>
  </r>
  <r>
    <n v="331"/>
    <x v="82"/>
    <x v="0"/>
    <x v="0"/>
    <x v="5"/>
    <n v="2"/>
    <x v="6"/>
    <n v="380"/>
  </r>
  <r>
    <n v="356"/>
    <x v="83"/>
    <x v="0"/>
    <x v="3"/>
    <x v="5"/>
    <n v="2"/>
    <x v="6"/>
    <n v="380"/>
  </r>
  <r>
    <n v="44"/>
    <x v="84"/>
    <x v="1"/>
    <x v="1"/>
    <x v="0"/>
    <n v="7"/>
    <x v="0"/>
    <n v="14700"/>
  </r>
  <r>
    <n v="64"/>
    <x v="85"/>
    <x v="1"/>
    <x v="0"/>
    <x v="0"/>
    <n v="7"/>
    <x v="0"/>
    <n v="14700"/>
  </r>
  <r>
    <n v="239"/>
    <x v="86"/>
    <x v="1"/>
    <x v="3"/>
    <x v="0"/>
    <n v="7"/>
    <x v="0"/>
    <n v="14700"/>
  </r>
  <r>
    <n v="274"/>
    <x v="87"/>
    <x v="1"/>
    <x v="3"/>
    <x v="0"/>
    <n v="7"/>
    <x v="0"/>
    <n v="14700"/>
  </r>
  <r>
    <n v="220"/>
    <x v="88"/>
    <x v="1"/>
    <x v="3"/>
    <x v="1"/>
    <n v="7"/>
    <x v="0"/>
    <n v="14700"/>
  </r>
  <r>
    <n v="58"/>
    <x v="89"/>
    <x v="1"/>
    <x v="3"/>
    <x v="0"/>
    <n v="6"/>
    <x v="0"/>
    <n v="12600"/>
  </r>
  <r>
    <n v="152"/>
    <x v="90"/>
    <x v="1"/>
    <x v="1"/>
    <x v="0"/>
    <n v="6"/>
    <x v="0"/>
    <n v="12600"/>
  </r>
  <r>
    <n v="233"/>
    <x v="91"/>
    <x v="1"/>
    <x v="0"/>
    <x v="0"/>
    <n v="6"/>
    <x v="0"/>
    <n v="12600"/>
  </r>
  <r>
    <n v="166"/>
    <x v="92"/>
    <x v="1"/>
    <x v="3"/>
    <x v="2"/>
    <n v="5"/>
    <x v="1"/>
    <n v="7500"/>
  </r>
  <r>
    <n v="293"/>
    <x v="93"/>
    <x v="1"/>
    <x v="3"/>
    <x v="2"/>
    <n v="5"/>
    <x v="1"/>
    <n v="7500"/>
  </r>
  <r>
    <n v="4"/>
    <x v="94"/>
    <x v="1"/>
    <x v="3"/>
    <x v="2"/>
    <n v="4"/>
    <x v="1"/>
    <n v="6000"/>
  </r>
  <r>
    <n v="10"/>
    <x v="95"/>
    <x v="1"/>
    <x v="0"/>
    <x v="2"/>
    <n v="4"/>
    <x v="1"/>
    <n v="6000"/>
  </r>
  <r>
    <n v="185"/>
    <x v="96"/>
    <x v="1"/>
    <x v="3"/>
    <x v="2"/>
    <n v="4"/>
    <x v="1"/>
    <n v="6000"/>
  </r>
  <r>
    <n v="260"/>
    <x v="97"/>
    <x v="1"/>
    <x v="1"/>
    <x v="2"/>
    <n v="4"/>
    <x v="1"/>
    <n v="6000"/>
  </r>
  <r>
    <n v="341"/>
    <x v="98"/>
    <x v="1"/>
    <x v="0"/>
    <x v="2"/>
    <n v="4"/>
    <x v="1"/>
    <n v="6000"/>
  </r>
  <r>
    <n v="112"/>
    <x v="99"/>
    <x v="1"/>
    <x v="3"/>
    <x v="1"/>
    <n v="5"/>
    <x v="2"/>
    <n v="6000"/>
  </r>
  <r>
    <n v="334"/>
    <x v="100"/>
    <x v="1"/>
    <x v="0"/>
    <x v="1"/>
    <n v="5"/>
    <x v="2"/>
    <n v="6000"/>
  </r>
  <r>
    <n v="125"/>
    <x v="101"/>
    <x v="1"/>
    <x v="0"/>
    <x v="0"/>
    <n v="2"/>
    <x v="0"/>
    <n v="4200"/>
  </r>
  <r>
    <n v="172"/>
    <x v="102"/>
    <x v="1"/>
    <x v="0"/>
    <x v="3"/>
    <n v="5"/>
    <x v="3"/>
    <n v="1500"/>
  </r>
  <r>
    <n v="347"/>
    <x v="103"/>
    <x v="1"/>
    <x v="3"/>
    <x v="3"/>
    <n v="5"/>
    <x v="3"/>
    <n v="1500"/>
  </r>
  <r>
    <n v="226"/>
    <x v="104"/>
    <x v="1"/>
    <x v="0"/>
    <x v="4"/>
    <n v="7"/>
    <x v="4"/>
    <n v="1470"/>
  </r>
  <r>
    <n v="17"/>
    <x v="105"/>
    <x v="1"/>
    <x v="0"/>
    <x v="3"/>
    <n v="4"/>
    <x v="3"/>
    <n v="1200"/>
  </r>
  <r>
    <n v="98"/>
    <x v="106"/>
    <x v="1"/>
    <x v="1"/>
    <x v="3"/>
    <n v="3"/>
    <x v="3"/>
    <n v="900"/>
  </r>
  <r>
    <n v="280"/>
    <x v="107"/>
    <x v="1"/>
    <x v="0"/>
    <x v="3"/>
    <n v="3"/>
    <x v="3"/>
    <n v="900"/>
  </r>
  <r>
    <n v="23"/>
    <x v="108"/>
    <x v="1"/>
    <x v="3"/>
    <x v="5"/>
    <n v="4"/>
    <x v="5"/>
    <n v="800"/>
  </r>
  <r>
    <n v="179"/>
    <x v="109"/>
    <x v="1"/>
    <x v="0"/>
    <x v="4"/>
    <n v="3"/>
    <x v="6"/>
    <n v="570"/>
  </r>
  <r>
    <n v="118"/>
    <x v="110"/>
    <x v="1"/>
    <x v="0"/>
    <x v="5"/>
    <n v="3"/>
    <x v="6"/>
    <n v="570"/>
  </r>
  <r>
    <n v="71"/>
    <x v="111"/>
    <x v="1"/>
    <x v="0"/>
    <x v="4"/>
    <n v="2"/>
    <x v="4"/>
    <n v="420"/>
  </r>
  <r>
    <n v="77"/>
    <x v="112"/>
    <x v="1"/>
    <x v="3"/>
    <x v="4"/>
    <n v="2"/>
    <x v="4"/>
    <n v="420"/>
  </r>
  <r>
    <n v="328"/>
    <x v="113"/>
    <x v="1"/>
    <x v="3"/>
    <x v="4"/>
    <n v="2"/>
    <x v="4"/>
    <n v="420"/>
  </r>
  <r>
    <n v="131"/>
    <x v="114"/>
    <x v="1"/>
    <x v="3"/>
    <x v="5"/>
    <n v="2"/>
    <x v="6"/>
    <n v="380"/>
  </r>
  <r>
    <n v="206"/>
    <x v="115"/>
    <x v="1"/>
    <x v="1"/>
    <x v="5"/>
    <n v="2"/>
    <x v="6"/>
    <n v="380"/>
  </r>
  <r>
    <n v="287"/>
    <x v="116"/>
    <x v="1"/>
    <x v="0"/>
    <x v="5"/>
    <n v="2"/>
    <x v="6"/>
    <n v="380"/>
  </r>
  <r>
    <n v="314"/>
    <x v="117"/>
    <x v="1"/>
    <x v="1"/>
    <x v="5"/>
    <n v="2"/>
    <x v="6"/>
    <n v="380"/>
  </r>
  <r>
    <n v="357"/>
    <x v="118"/>
    <x v="2"/>
    <x v="3"/>
    <x v="0"/>
    <n v="2"/>
    <x v="7"/>
    <n v="340"/>
  </r>
  <r>
    <n v="45"/>
    <x v="119"/>
    <x v="3"/>
    <x v="1"/>
    <x v="0"/>
    <n v="7"/>
    <x v="0"/>
    <n v="14700"/>
  </r>
  <r>
    <n v="234"/>
    <x v="120"/>
    <x v="3"/>
    <x v="0"/>
    <x v="0"/>
    <n v="7"/>
    <x v="0"/>
    <n v="14700"/>
  </r>
  <r>
    <n v="275"/>
    <x v="121"/>
    <x v="3"/>
    <x v="0"/>
    <x v="0"/>
    <n v="7"/>
    <x v="0"/>
    <n v="14700"/>
  </r>
  <r>
    <n v="227"/>
    <x v="122"/>
    <x v="3"/>
    <x v="0"/>
    <x v="0"/>
    <n v="6"/>
    <x v="0"/>
    <n v="12600"/>
  </r>
  <r>
    <n v="221"/>
    <x v="123"/>
    <x v="3"/>
    <x v="0"/>
    <x v="2"/>
    <n v="6"/>
    <x v="2"/>
    <n v="7200"/>
  </r>
  <r>
    <n v="65"/>
    <x v="124"/>
    <x v="3"/>
    <x v="0"/>
    <x v="1"/>
    <n v="6"/>
    <x v="2"/>
    <n v="7200"/>
  </r>
  <r>
    <n v="240"/>
    <x v="125"/>
    <x v="3"/>
    <x v="0"/>
    <x v="1"/>
    <n v="6"/>
    <x v="2"/>
    <n v="7200"/>
  </r>
  <r>
    <n v="335"/>
    <x v="126"/>
    <x v="3"/>
    <x v="0"/>
    <x v="2"/>
    <n v="4"/>
    <x v="1"/>
    <n v="6000"/>
  </r>
  <r>
    <n v="342"/>
    <x v="127"/>
    <x v="3"/>
    <x v="0"/>
    <x v="2"/>
    <n v="4"/>
    <x v="1"/>
    <n v="6000"/>
  </r>
  <r>
    <n v="59"/>
    <x v="128"/>
    <x v="3"/>
    <x v="0"/>
    <x v="1"/>
    <n v="5"/>
    <x v="2"/>
    <n v="6000"/>
  </r>
  <r>
    <n v="78"/>
    <x v="129"/>
    <x v="3"/>
    <x v="0"/>
    <x v="1"/>
    <n v="5"/>
    <x v="2"/>
    <n v="6000"/>
  </r>
  <r>
    <n v="153"/>
    <x v="130"/>
    <x v="3"/>
    <x v="1"/>
    <x v="1"/>
    <n v="5"/>
    <x v="2"/>
    <n v="6000"/>
  </r>
  <r>
    <n v="126"/>
    <x v="131"/>
    <x v="3"/>
    <x v="0"/>
    <x v="4"/>
    <n v="7"/>
    <x v="4"/>
    <n v="1470"/>
  </r>
  <r>
    <n v="132"/>
    <x v="132"/>
    <x v="3"/>
    <x v="0"/>
    <x v="4"/>
    <n v="7"/>
    <x v="4"/>
    <n v="1470"/>
  </r>
  <r>
    <n v="207"/>
    <x v="133"/>
    <x v="3"/>
    <x v="1"/>
    <x v="4"/>
    <n v="7"/>
    <x v="4"/>
    <n v="1470"/>
  </r>
  <r>
    <n v="167"/>
    <x v="134"/>
    <x v="3"/>
    <x v="0"/>
    <x v="3"/>
    <n v="4"/>
    <x v="3"/>
    <n v="1200"/>
  </r>
  <r>
    <n v="294"/>
    <x v="135"/>
    <x v="3"/>
    <x v="0"/>
    <x v="3"/>
    <n v="4"/>
    <x v="3"/>
    <n v="1200"/>
  </r>
  <r>
    <n v="5"/>
    <x v="136"/>
    <x v="3"/>
    <x v="0"/>
    <x v="3"/>
    <n v="3"/>
    <x v="3"/>
    <n v="900"/>
  </r>
  <r>
    <n v="11"/>
    <x v="137"/>
    <x v="3"/>
    <x v="0"/>
    <x v="3"/>
    <n v="3"/>
    <x v="3"/>
    <n v="900"/>
  </r>
  <r>
    <n v="186"/>
    <x v="138"/>
    <x v="3"/>
    <x v="0"/>
    <x v="3"/>
    <n v="3"/>
    <x v="3"/>
    <n v="900"/>
  </r>
  <r>
    <n v="261"/>
    <x v="139"/>
    <x v="3"/>
    <x v="1"/>
    <x v="3"/>
    <n v="3"/>
    <x v="3"/>
    <n v="900"/>
  </r>
  <r>
    <n v="173"/>
    <x v="140"/>
    <x v="3"/>
    <x v="0"/>
    <x v="5"/>
    <n v="4"/>
    <x v="5"/>
    <n v="800"/>
  </r>
  <r>
    <n v="348"/>
    <x v="141"/>
    <x v="3"/>
    <x v="0"/>
    <x v="5"/>
    <n v="4"/>
    <x v="5"/>
    <n v="800"/>
  </r>
  <r>
    <n v="24"/>
    <x v="142"/>
    <x v="3"/>
    <x v="0"/>
    <x v="4"/>
    <n v="3"/>
    <x v="6"/>
    <n v="570"/>
  </r>
  <r>
    <n v="99"/>
    <x v="143"/>
    <x v="3"/>
    <x v="1"/>
    <x v="4"/>
    <n v="3"/>
    <x v="6"/>
    <n v="570"/>
  </r>
  <r>
    <n v="180"/>
    <x v="144"/>
    <x v="3"/>
    <x v="0"/>
    <x v="4"/>
    <n v="3"/>
    <x v="6"/>
    <n v="570"/>
  </r>
  <r>
    <n v="18"/>
    <x v="145"/>
    <x v="3"/>
    <x v="0"/>
    <x v="5"/>
    <n v="3"/>
    <x v="6"/>
    <n v="570"/>
  </r>
  <r>
    <n v="72"/>
    <x v="146"/>
    <x v="3"/>
    <x v="0"/>
    <x v="5"/>
    <n v="3"/>
    <x v="6"/>
    <n v="570"/>
  </r>
  <r>
    <n v="113"/>
    <x v="147"/>
    <x v="3"/>
    <x v="0"/>
    <x v="4"/>
    <n v="2"/>
    <x v="4"/>
    <n v="420"/>
  </r>
  <r>
    <n v="119"/>
    <x v="148"/>
    <x v="3"/>
    <x v="0"/>
    <x v="4"/>
    <n v="2"/>
    <x v="4"/>
    <n v="420"/>
  </r>
  <r>
    <n v="288"/>
    <x v="149"/>
    <x v="3"/>
    <x v="0"/>
    <x v="4"/>
    <n v="2"/>
    <x v="4"/>
    <n v="420"/>
  </r>
  <r>
    <n v="329"/>
    <x v="150"/>
    <x v="3"/>
    <x v="0"/>
    <x v="4"/>
    <n v="2"/>
    <x v="4"/>
    <n v="420"/>
  </r>
  <r>
    <n v="315"/>
    <x v="151"/>
    <x v="3"/>
    <x v="1"/>
    <x v="5"/>
    <n v="2"/>
    <x v="6"/>
    <n v="380"/>
  </r>
  <r>
    <n v="43"/>
    <x v="152"/>
    <x v="4"/>
    <x v="1"/>
    <x v="0"/>
    <n v="7"/>
    <x v="0"/>
    <n v="14700"/>
  </r>
  <r>
    <n v="273"/>
    <x v="153"/>
    <x v="4"/>
    <x v="0"/>
    <x v="0"/>
    <n v="7"/>
    <x v="0"/>
    <n v="14700"/>
  </r>
  <r>
    <n v="111"/>
    <x v="154"/>
    <x v="4"/>
    <x v="0"/>
    <x v="0"/>
    <n v="6"/>
    <x v="0"/>
    <n v="12600"/>
  </r>
  <r>
    <n v="333"/>
    <x v="155"/>
    <x v="4"/>
    <x v="3"/>
    <x v="0"/>
    <n v="6"/>
    <x v="0"/>
    <n v="12600"/>
  </r>
  <r>
    <n v="16"/>
    <x v="156"/>
    <x v="4"/>
    <x v="0"/>
    <x v="2"/>
    <n v="5"/>
    <x v="1"/>
    <n v="7500"/>
  </r>
  <r>
    <n v="171"/>
    <x v="157"/>
    <x v="4"/>
    <x v="3"/>
    <x v="2"/>
    <n v="6"/>
    <x v="2"/>
    <n v="7200"/>
  </r>
  <r>
    <n v="346"/>
    <x v="158"/>
    <x v="4"/>
    <x v="0"/>
    <x v="2"/>
    <n v="6"/>
    <x v="2"/>
    <n v="7200"/>
  </r>
  <r>
    <n v="165"/>
    <x v="159"/>
    <x v="4"/>
    <x v="0"/>
    <x v="1"/>
    <n v="6"/>
    <x v="2"/>
    <n v="7200"/>
  </r>
  <r>
    <n v="279"/>
    <x v="160"/>
    <x v="4"/>
    <x v="3"/>
    <x v="2"/>
    <n v="4"/>
    <x v="1"/>
    <n v="6000"/>
  </r>
  <r>
    <n v="340"/>
    <x v="161"/>
    <x v="4"/>
    <x v="0"/>
    <x v="2"/>
    <n v="4"/>
    <x v="1"/>
    <n v="6000"/>
  </r>
  <r>
    <n v="3"/>
    <x v="162"/>
    <x v="4"/>
    <x v="0"/>
    <x v="1"/>
    <n v="5"/>
    <x v="2"/>
    <n v="6000"/>
  </r>
  <r>
    <n v="9"/>
    <x v="163"/>
    <x v="4"/>
    <x v="3"/>
    <x v="1"/>
    <n v="5"/>
    <x v="2"/>
    <n v="6000"/>
  </r>
  <r>
    <n v="184"/>
    <x v="164"/>
    <x v="4"/>
    <x v="0"/>
    <x v="1"/>
    <n v="5"/>
    <x v="2"/>
    <n v="6000"/>
  </r>
  <r>
    <n v="259"/>
    <x v="165"/>
    <x v="4"/>
    <x v="1"/>
    <x v="1"/>
    <n v="5"/>
    <x v="2"/>
    <n v="6000"/>
  </r>
  <r>
    <n v="225"/>
    <x v="166"/>
    <x v="4"/>
    <x v="3"/>
    <x v="0"/>
    <n v="2"/>
    <x v="0"/>
    <n v="4200"/>
  </r>
  <r>
    <n v="22"/>
    <x v="167"/>
    <x v="4"/>
    <x v="0"/>
    <x v="3"/>
    <n v="5"/>
    <x v="3"/>
    <n v="1500"/>
  </r>
  <r>
    <n v="57"/>
    <x v="168"/>
    <x v="4"/>
    <x v="0"/>
    <x v="4"/>
    <n v="7"/>
    <x v="4"/>
    <n v="1470"/>
  </r>
  <r>
    <n v="232"/>
    <x v="169"/>
    <x v="4"/>
    <x v="0"/>
    <x v="4"/>
    <n v="7"/>
    <x v="4"/>
    <n v="1470"/>
  </r>
  <r>
    <n v="117"/>
    <x v="170"/>
    <x v="4"/>
    <x v="3"/>
    <x v="3"/>
    <n v="4"/>
    <x v="3"/>
    <n v="1200"/>
  </r>
  <r>
    <n v="151"/>
    <x v="171"/>
    <x v="4"/>
    <x v="1"/>
    <x v="3"/>
    <n v="4"/>
    <x v="3"/>
    <n v="1200"/>
  </r>
  <r>
    <n v="292"/>
    <x v="172"/>
    <x v="4"/>
    <x v="0"/>
    <x v="3"/>
    <n v="4"/>
    <x v="3"/>
    <n v="1200"/>
  </r>
  <r>
    <n v="97"/>
    <x v="173"/>
    <x v="4"/>
    <x v="1"/>
    <x v="3"/>
    <n v="3"/>
    <x v="3"/>
    <n v="900"/>
  </r>
  <r>
    <n v="130"/>
    <x v="174"/>
    <x v="4"/>
    <x v="0"/>
    <x v="3"/>
    <n v="3"/>
    <x v="3"/>
    <n v="900"/>
  </r>
  <r>
    <n v="205"/>
    <x v="175"/>
    <x v="4"/>
    <x v="1"/>
    <x v="3"/>
    <n v="3"/>
    <x v="3"/>
    <n v="900"/>
  </r>
  <r>
    <n v="286"/>
    <x v="176"/>
    <x v="4"/>
    <x v="0"/>
    <x v="3"/>
    <n v="3"/>
    <x v="3"/>
    <n v="900"/>
  </r>
  <r>
    <n v="124"/>
    <x v="177"/>
    <x v="4"/>
    <x v="0"/>
    <x v="4"/>
    <n v="3"/>
    <x v="6"/>
    <n v="570"/>
  </r>
  <r>
    <n v="178"/>
    <x v="178"/>
    <x v="4"/>
    <x v="0"/>
    <x v="4"/>
    <n v="3"/>
    <x v="6"/>
    <n v="570"/>
  </r>
  <r>
    <n v="70"/>
    <x v="179"/>
    <x v="4"/>
    <x v="0"/>
    <x v="5"/>
    <n v="3"/>
    <x v="6"/>
    <n v="570"/>
  </r>
  <r>
    <n v="76"/>
    <x v="180"/>
    <x v="4"/>
    <x v="0"/>
    <x v="5"/>
    <n v="3"/>
    <x v="6"/>
    <n v="570"/>
  </r>
  <r>
    <n v="63"/>
    <x v="181"/>
    <x v="4"/>
    <x v="3"/>
    <x v="4"/>
    <n v="2"/>
    <x v="4"/>
    <n v="420"/>
  </r>
  <r>
    <n v="219"/>
    <x v="182"/>
    <x v="4"/>
    <x v="0"/>
    <x v="4"/>
    <n v="2"/>
    <x v="4"/>
    <n v="420"/>
  </r>
  <r>
    <n v="238"/>
    <x v="183"/>
    <x v="4"/>
    <x v="0"/>
    <x v="4"/>
    <n v="2"/>
    <x v="4"/>
    <n v="420"/>
  </r>
  <r>
    <n v="327"/>
    <x v="184"/>
    <x v="4"/>
    <x v="0"/>
    <x v="4"/>
    <n v="2"/>
    <x v="4"/>
    <n v="420"/>
  </r>
  <r>
    <n v="313"/>
    <x v="185"/>
    <x v="4"/>
    <x v="1"/>
    <x v="5"/>
    <n v="2"/>
    <x v="6"/>
    <n v="380"/>
  </r>
  <r>
    <n v="39"/>
    <x v="186"/>
    <x v="5"/>
    <x v="3"/>
    <x v="0"/>
    <n v="7"/>
    <x v="0"/>
    <n v="14700"/>
  </r>
  <r>
    <n v="41"/>
    <x v="187"/>
    <x v="5"/>
    <x v="2"/>
    <x v="0"/>
    <n v="7"/>
    <x v="0"/>
    <n v="14700"/>
  </r>
  <r>
    <n v="42"/>
    <x v="188"/>
    <x v="5"/>
    <x v="1"/>
    <x v="0"/>
    <n v="7"/>
    <x v="0"/>
    <n v="14700"/>
  </r>
  <r>
    <n v="164"/>
    <x v="189"/>
    <x v="5"/>
    <x v="3"/>
    <x v="0"/>
    <n v="7"/>
    <x v="0"/>
    <n v="14700"/>
  </r>
  <r>
    <n v="253"/>
    <x v="190"/>
    <x v="5"/>
    <x v="2"/>
    <x v="0"/>
    <n v="7"/>
    <x v="0"/>
    <n v="14700"/>
  </r>
  <r>
    <n v="272"/>
    <x v="191"/>
    <x v="5"/>
    <x v="3"/>
    <x v="0"/>
    <n v="7"/>
    <x v="0"/>
    <n v="14700"/>
  </r>
  <r>
    <n v="170"/>
    <x v="192"/>
    <x v="5"/>
    <x v="3"/>
    <x v="1"/>
    <n v="7"/>
    <x v="0"/>
    <n v="14700"/>
  </r>
  <r>
    <n v="345"/>
    <x v="193"/>
    <x v="5"/>
    <x v="3"/>
    <x v="1"/>
    <n v="7"/>
    <x v="0"/>
    <n v="14700"/>
  </r>
  <r>
    <n v="2"/>
    <x v="194"/>
    <x v="5"/>
    <x v="3"/>
    <x v="0"/>
    <n v="6"/>
    <x v="0"/>
    <n v="12600"/>
  </r>
  <r>
    <n v="8"/>
    <x v="195"/>
    <x v="5"/>
    <x v="3"/>
    <x v="0"/>
    <n v="6"/>
    <x v="0"/>
    <n v="12600"/>
  </r>
  <r>
    <n v="202"/>
    <x v="196"/>
    <x v="5"/>
    <x v="0"/>
    <x v="0"/>
    <n v="6"/>
    <x v="0"/>
    <n v="12600"/>
  </r>
  <r>
    <n v="258"/>
    <x v="197"/>
    <x v="5"/>
    <x v="1"/>
    <x v="0"/>
    <n v="6"/>
    <x v="0"/>
    <n v="12600"/>
  </r>
  <r>
    <n v="359"/>
    <x v="198"/>
    <x v="5"/>
    <x v="3"/>
    <x v="0"/>
    <n v="6"/>
    <x v="0"/>
    <n v="12600"/>
  </r>
  <r>
    <n v="360"/>
    <x v="199"/>
    <x v="5"/>
    <x v="0"/>
    <x v="0"/>
    <n v="6"/>
    <x v="0"/>
    <n v="12600"/>
  </r>
  <r>
    <n v="361"/>
    <x v="200"/>
    <x v="5"/>
    <x v="2"/>
    <x v="0"/>
    <n v="6"/>
    <x v="0"/>
    <n v="12600"/>
  </r>
  <r>
    <n v="362"/>
    <x v="201"/>
    <x v="5"/>
    <x v="1"/>
    <x v="0"/>
    <n v="6"/>
    <x v="0"/>
    <n v="12600"/>
  </r>
  <r>
    <n v="363"/>
    <x v="202"/>
    <x v="5"/>
    <x v="3"/>
    <x v="0"/>
    <n v="6"/>
    <x v="0"/>
    <n v="12600"/>
  </r>
  <r>
    <n v="364"/>
    <x v="203"/>
    <x v="5"/>
    <x v="0"/>
    <x v="0"/>
    <n v="6"/>
    <x v="0"/>
    <n v="12600"/>
  </r>
  <r>
    <n v="116"/>
    <x v="204"/>
    <x v="5"/>
    <x v="3"/>
    <x v="2"/>
    <n v="5"/>
    <x v="1"/>
    <n v="7500"/>
  </r>
  <r>
    <n v="255"/>
    <x v="205"/>
    <x v="5"/>
    <x v="3"/>
    <x v="2"/>
    <n v="5"/>
    <x v="1"/>
    <n v="7500"/>
  </r>
  <r>
    <n v="291"/>
    <x v="206"/>
    <x v="5"/>
    <x v="3"/>
    <x v="2"/>
    <n v="5"/>
    <x v="1"/>
    <n v="7500"/>
  </r>
  <r>
    <n v="366"/>
    <x v="207"/>
    <x v="5"/>
    <x v="1"/>
    <x v="2"/>
    <n v="5"/>
    <x v="1"/>
    <n v="7500"/>
  </r>
  <r>
    <n v="21"/>
    <x v="208"/>
    <x v="5"/>
    <x v="3"/>
    <x v="2"/>
    <n v="6"/>
    <x v="2"/>
    <n v="7200"/>
  </r>
  <r>
    <n v="15"/>
    <x v="209"/>
    <x v="5"/>
    <x v="0"/>
    <x v="1"/>
    <n v="6"/>
    <x v="2"/>
    <n v="7200"/>
  </r>
  <r>
    <n v="40"/>
    <x v="210"/>
    <x v="5"/>
    <x v="0"/>
    <x v="1"/>
    <n v="6"/>
    <x v="2"/>
    <n v="7200"/>
  </r>
  <r>
    <n v="254"/>
    <x v="211"/>
    <x v="5"/>
    <x v="1"/>
    <x v="1"/>
    <n v="6"/>
    <x v="2"/>
    <n v="7200"/>
  </r>
  <r>
    <n v="365"/>
    <x v="212"/>
    <x v="5"/>
    <x v="2"/>
    <x v="1"/>
    <n v="6"/>
    <x v="2"/>
    <n v="7200"/>
  </r>
  <r>
    <n v="129"/>
    <x v="213"/>
    <x v="5"/>
    <x v="3"/>
    <x v="2"/>
    <n v="4"/>
    <x v="1"/>
    <n v="6000"/>
  </r>
  <r>
    <n v="204"/>
    <x v="214"/>
    <x v="5"/>
    <x v="1"/>
    <x v="2"/>
    <n v="4"/>
    <x v="1"/>
    <n v="6000"/>
  </r>
  <r>
    <n v="285"/>
    <x v="215"/>
    <x v="5"/>
    <x v="0"/>
    <x v="2"/>
    <n v="4"/>
    <x v="1"/>
    <n v="6000"/>
  </r>
  <r>
    <n v="339"/>
    <x v="216"/>
    <x v="5"/>
    <x v="0"/>
    <x v="2"/>
    <n v="4"/>
    <x v="1"/>
    <n v="6000"/>
  </r>
  <r>
    <n v="110"/>
    <x v="217"/>
    <x v="5"/>
    <x v="3"/>
    <x v="1"/>
    <n v="5"/>
    <x v="2"/>
    <n v="6000"/>
  </r>
  <r>
    <n v="203"/>
    <x v="218"/>
    <x v="5"/>
    <x v="2"/>
    <x v="1"/>
    <n v="5"/>
    <x v="2"/>
    <n v="6000"/>
  </r>
  <r>
    <n v="278"/>
    <x v="219"/>
    <x v="5"/>
    <x v="3"/>
    <x v="1"/>
    <n v="5"/>
    <x v="2"/>
    <n v="6000"/>
  </r>
  <r>
    <n v="200"/>
    <x v="220"/>
    <x v="5"/>
    <x v="1"/>
    <x v="0"/>
    <n v="2"/>
    <x v="0"/>
    <n v="4200"/>
  </r>
  <r>
    <n v="197"/>
    <x v="221"/>
    <x v="5"/>
    <x v="3"/>
    <x v="3"/>
    <n v="5"/>
    <x v="3"/>
    <n v="1500"/>
  </r>
  <r>
    <n v="35"/>
    <x v="222"/>
    <x v="5"/>
    <x v="3"/>
    <x v="4"/>
    <n v="7"/>
    <x v="4"/>
    <n v="1470"/>
  </r>
  <r>
    <n v="36"/>
    <x v="223"/>
    <x v="5"/>
    <x v="0"/>
    <x v="4"/>
    <n v="7"/>
    <x v="4"/>
    <n v="1470"/>
  </r>
  <r>
    <n v="201"/>
    <x v="224"/>
    <x v="5"/>
    <x v="3"/>
    <x v="4"/>
    <n v="7"/>
    <x v="4"/>
    <n v="1470"/>
  </r>
  <r>
    <n v="257"/>
    <x v="225"/>
    <x v="5"/>
    <x v="2"/>
    <x v="4"/>
    <n v="7"/>
    <x v="4"/>
    <n v="1470"/>
  </r>
  <r>
    <n v="332"/>
    <x v="226"/>
    <x v="5"/>
    <x v="3"/>
    <x v="4"/>
    <n v="7"/>
    <x v="4"/>
    <n v="1470"/>
  </r>
  <r>
    <n v="144"/>
    <x v="227"/>
    <x v="5"/>
    <x v="0"/>
    <x v="3"/>
    <n v="4"/>
    <x v="3"/>
    <n v="1200"/>
  </r>
  <r>
    <n v="145"/>
    <x v="228"/>
    <x v="5"/>
    <x v="2"/>
    <x v="3"/>
    <n v="4"/>
    <x v="3"/>
    <n v="1200"/>
  </r>
  <r>
    <n v="146"/>
    <x v="229"/>
    <x v="5"/>
    <x v="1"/>
    <x v="3"/>
    <n v="4"/>
    <x v="3"/>
    <n v="1200"/>
  </r>
  <r>
    <n v="147"/>
    <x v="230"/>
    <x v="5"/>
    <x v="3"/>
    <x v="3"/>
    <n v="4"/>
    <x v="3"/>
    <n v="1200"/>
  </r>
  <r>
    <n v="148"/>
    <x v="231"/>
    <x v="5"/>
    <x v="0"/>
    <x v="3"/>
    <n v="4"/>
    <x v="3"/>
    <n v="1200"/>
  </r>
  <r>
    <n v="149"/>
    <x v="232"/>
    <x v="5"/>
    <x v="2"/>
    <x v="3"/>
    <n v="4"/>
    <x v="3"/>
    <n v="1200"/>
  </r>
  <r>
    <n v="150"/>
    <x v="233"/>
    <x v="5"/>
    <x v="1"/>
    <x v="3"/>
    <n v="4"/>
    <x v="3"/>
    <n v="1200"/>
  </r>
  <r>
    <n v="256"/>
    <x v="234"/>
    <x v="5"/>
    <x v="0"/>
    <x v="3"/>
    <n v="4"/>
    <x v="3"/>
    <n v="1200"/>
  </r>
  <r>
    <n v="89"/>
    <x v="235"/>
    <x v="5"/>
    <x v="3"/>
    <x v="3"/>
    <n v="3"/>
    <x v="3"/>
    <n v="900"/>
  </r>
  <r>
    <n v="90"/>
    <x v="236"/>
    <x v="5"/>
    <x v="0"/>
    <x v="3"/>
    <n v="3"/>
    <x v="3"/>
    <n v="900"/>
  </r>
  <r>
    <n v="91"/>
    <x v="237"/>
    <x v="5"/>
    <x v="2"/>
    <x v="3"/>
    <n v="3"/>
    <x v="3"/>
    <n v="900"/>
  </r>
  <r>
    <n v="92"/>
    <x v="238"/>
    <x v="5"/>
    <x v="1"/>
    <x v="3"/>
    <n v="3"/>
    <x v="3"/>
    <n v="900"/>
  </r>
  <r>
    <n v="93"/>
    <x v="239"/>
    <x v="5"/>
    <x v="3"/>
    <x v="3"/>
    <n v="3"/>
    <x v="3"/>
    <n v="900"/>
  </r>
  <r>
    <n v="94"/>
    <x v="240"/>
    <x v="5"/>
    <x v="0"/>
    <x v="3"/>
    <n v="3"/>
    <x v="3"/>
    <n v="900"/>
  </r>
  <r>
    <n v="95"/>
    <x v="241"/>
    <x v="5"/>
    <x v="2"/>
    <x v="3"/>
    <n v="3"/>
    <x v="3"/>
    <n v="900"/>
  </r>
  <r>
    <n v="96"/>
    <x v="242"/>
    <x v="5"/>
    <x v="1"/>
    <x v="3"/>
    <n v="3"/>
    <x v="3"/>
    <n v="900"/>
  </r>
  <r>
    <n v="305"/>
    <x v="243"/>
    <x v="5"/>
    <x v="3"/>
    <x v="3"/>
    <n v="3"/>
    <x v="3"/>
    <n v="900"/>
  </r>
  <r>
    <n v="123"/>
    <x v="244"/>
    <x v="5"/>
    <x v="0"/>
    <x v="5"/>
    <n v="4"/>
    <x v="5"/>
    <n v="800"/>
  </r>
  <r>
    <n v="198"/>
    <x v="245"/>
    <x v="5"/>
    <x v="0"/>
    <x v="5"/>
    <n v="4"/>
    <x v="5"/>
    <n v="800"/>
  </r>
  <r>
    <n v="177"/>
    <x v="246"/>
    <x v="5"/>
    <x v="0"/>
    <x v="4"/>
    <n v="3"/>
    <x v="6"/>
    <n v="570"/>
  </r>
  <r>
    <n v="183"/>
    <x v="247"/>
    <x v="5"/>
    <x v="3"/>
    <x v="4"/>
    <n v="3"/>
    <x v="6"/>
    <n v="570"/>
  </r>
  <r>
    <n v="199"/>
    <x v="248"/>
    <x v="5"/>
    <x v="2"/>
    <x v="4"/>
    <n v="3"/>
    <x v="6"/>
    <n v="570"/>
  </r>
  <r>
    <n v="224"/>
    <x v="249"/>
    <x v="5"/>
    <x v="3"/>
    <x v="4"/>
    <n v="3"/>
    <x v="6"/>
    <n v="570"/>
  </r>
  <r>
    <n v="143"/>
    <x v="250"/>
    <x v="5"/>
    <x v="3"/>
    <x v="5"/>
    <n v="3"/>
    <x v="6"/>
    <n v="570"/>
  </r>
  <r>
    <n v="218"/>
    <x v="251"/>
    <x v="5"/>
    <x v="3"/>
    <x v="5"/>
    <n v="3"/>
    <x v="6"/>
    <n v="570"/>
  </r>
  <r>
    <n v="38"/>
    <x v="252"/>
    <x v="5"/>
    <x v="1"/>
    <x v="4"/>
    <n v="2"/>
    <x v="4"/>
    <n v="420"/>
  </r>
  <r>
    <n v="69"/>
    <x v="253"/>
    <x v="5"/>
    <x v="0"/>
    <x v="4"/>
    <n v="2"/>
    <x v="4"/>
    <n v="420"/>
  </r>
  <r>
    <n v="75"/>
    <x v="254"/>
    <x v="5"/>
    <x v="3"/>
    <x v="4"/>
    <n v="2"/>
    <x v="4"/>
    <n v="420"/>
  </r>
  <r>
    <n v="252"/>
    <x v="255"/>
    <x v="5"/>
    <x v="0"/>
    <x v="4"/>
    <n v="2"/>
    <x v="4"/>
    <n v="420"/>
  </r>
  <r>
    <n v="326"/>
    <x v="256"/>
    <x v="5"/>
    <x v="3"/>
    <x v="4"/>
    <n v="2"/>
    <x v="4"/>
    <n v="420"/>
  </r>
  <r>
    <n v="37"/>
    <x v="257"/>
    <x v="5"/>
    <x v="2"/>
    <x v="5"/>
    <n v="2"/>
    <x v="6"/>
    <n v="380"/>
  </r>
  <r>
    <n v="56"/>
    <x v="258"/>
    <x v="5"/>
    <x v="3"/>
    <x v="5"/>
    <n v="2"/>
    <x v="6"/>
    <n v="380"/>
  </r>
  <r>
    <n v="62"/>
    <x v="259"/>
    <x v="5"/>
    <x v="3"/>
    <x v="5"/>
    <n v="2"/>
    <x v="6"/>
    <n v="380"/>
  </r>
  <r>
    <n v="231"/>
    <x v="260"/>
    <x v="5"/>
    <x v="0"/>
    <x v="5"/>
    <n v="2"/>
    <x v="6"/>
    <n v="380"/>
  </r>
  <r>
    <n v="237"/>
    <x v="261"/>
    <x v="5"/>
    <x v="3"/>
    <x v="5"/>
    <n v="2"/>
    <x v="6"/>
    <n v="380"/>
  </r>
  <r>
    <n v="251"/>
    <x v="262"/>
    <x v="5"/>
    <x v="3"/>
    <x v="5"/>
    <n v="2"/>
    <x v="6"/>
    <n v="380"/>
  </r>
  <r>
    <n v="306"/>
    <x v="263"/>
    <x v="5"/>
    <x v="0"/>
    <x v="5"/>
    <n v="2"/>
    <x v="6"/>
    <n v="380"/>
  </r>
  <r>
    <n v="307"/>
    <x v="264"/>
    <x v="5"/>
    <x v="2"/>
    <x v="5"/>
    <n v="2"/>
    <x v="6"/>
    <n v="380"/>
  </r>
  <r>
    <n v="308"/>
    <x v="265"/>
    <x v="5"/>
    <x v="1"/>
    <x v="5"/>
    <n v="2"/>
    <x v="6"/>
    <n v="380"/>
  </r>
  <r>
    <n v="309"/>
    <x v="266"/>
    <x v="5"/>
    <x v="3"/>
    <x v="5"/>
    <n v="2"/>
    <x v="6"/>
    <n v="380"/>
  </r>
  <r>
    <n v="310"/>
    <x v="267"/>
    <x v="5"/>
    <x v="0"/>
    <x v="5"/>
    <n v="2"/>
    <x v="6"/>
    <n v="380"/>
  </r>
  <r>
    <n v="311"/>
    <x v="268"/>
    <x v="5"/>
    <x v="2"/>
    <x v="5"/>
    <n v="2"/>
    <x v="6"/>
    <n v="380"/>
  </r>
  <r>
    <n v="312"/>
    <x v="269"/>
    <x v="5"/>
    <x v="1"/>
    <x v="5"/>
    <n v="2"/>
    <x v="6"/>
    <n v="380"/>
  </r>
  <r>
    <n v="46"/>
    <x v="270"/>
    <x v="6"/>
    <x v="1"/>
    <x v="0"/>
    <n v="7"/>
    <x v="0"/>
    <n v="14700"/>
  </r>
  <r>
    <n v="47"/>
    <x v="271"/>
    <x v="6"/>
    <x v="0"/>
    <x v="0"/>
    <n v="7"/>
    <x v="0"/>
    <n v="14700"/>
  </r>
  <r>
    <n v="48"/>
    <x v="272"/>
    <x v="6"/>
    <x v="3"/>
    <x v="0"/>
    <n v="7"/>
    <x v="0"/>
    <n v="14700"/>
  </r>
  <r>
    <n v="49"/>
    <x v="273"/>
    <x v="6"/>
    <x v="2"/>
    <x v="0"/>
    <n v="7"/>
    <x v="0"/>
    <n v="14700"/>
  </r>
  <r>
    <n v="50"/>
    <x v="274"/>
    <x v="6"/>
    <x v="1"/>
    <x v="0"/>
    <n v="7"/>
    <x v="0"/>
    <n v="14700"/>
  </r>
  <r>
    <n v="114"/>
    <x v="275"/>
    <x v="6"/>
    <x v="0"/>
    <x v="0"/>
    <n v="7"/>
    <x v="0"/>
    <n v="14700"/>
  </r>
  <r>
    <n v="214"/>
    <x v="276"/>
    <x v="6"/>
    <x v="3"/>
    <x v="0"/>
    <n v="7"/>
    <x v="0"/>
    <n v="14700"/>
  </r>
  <r>
    <n v="264"/>
    <x v="277"/>
    <x v="6"/>
    <x v="3"/>
    <x v="0"/>
    <n v="7"/>
    <x v="0"/>
    <n v="14700"/>
  </r>
  <r>
    <n v="267"/>
    <x v="278"/>
    <x v="6"/>
    <x v="0"/>
    <x v="0"/>
    <n v="7"/>
    <x v="0"/>
    <n v="14700"/>
  </r>
  <r>
    <n v="268"/>
    <x v="279"/>
    <x v="6"/>
    <x v="3"/>
    <x v="0"/>
    <n v="7"/>
    <x v="0"/>
    <n v="14700"/>
  </r>
  <r>
    <n v="269"/>
    <x v="280"/>
    <x v="6"/>
    <x v="2"/>
    <x v="0"/>
    <n v="7"/>
    <x v="0"/>
    <n v="14700"/>
  </r>
  <r>
    <n v="270"/>
    <x v="281"/>
    <x v="6"/>
    <x v="1"/>
    <x v="0"/>
    <n v="7"/>
    <x v="0"/>
    <n v="14700"/>
  </r>
  <r>
    <n v="276"/>
    <x v="282"/>
    <x v="6"/>
    <x v="0"/>
    <x v="0"/>
    <n v="7"/>
    <x v="0"/>
    <n v="14700"/>
  </r>
  <r>
    <n v="289"/>
    <x v="283"/>
    <x v="6"/>
    <x v="0"/>
    <x v="0"/>
    <n v="7"/>
    <x v="0"/>
    <n v="14700"/>
  </r>
  <r>
    <n v="120"/>
    <x v="284"/>
    <x v="6"/>
    <x v="3"/>
    <x v="1"/>
    <n v="7"/>
    <x v="0"/>
    <n v="14700"/>
  </r>
  <r>
    <n v="52"/>
    <x v="285"/>
    <x v="6"/>
    <x v="3"/>
    <x v="0"/>
    <n v="6"/>
    <x v="0"/>
    <n v="12600"/>
  </r>
  <r>
    <n v="102"/>
    <x v="286"/>
    <x v="6"/>
    <x v="3"/>
    <x v="0"/>
    <n v="6"/>
    <x v="0"/>
    <n v="12600"/>
  </r>
  <r>
    <n v="104"/>
    <x v="287"/>
    <x v="6"/>
    <x v="1"/>
    <x v="0"/>
    <n v="6"/>
    <x v="0"/>
    <n v="12600"/>
  </r>
  <r>
    <n v="107"/>
    <x v="288"/>
    <x v="6"/>
    <x v="2"/>
    <x v="0"/>
    <n v="6"/>
    <x v="0"/>
    <n v="12600"/>
  </r>
  <r>
    <n v="127"/>
    <x v="289"/>
    <x v="6"/>
    <x v="0"/>
    <x v="0"/>
    <n v="6"/>
    <x v="0"/>
    <n v="12600"/>
  </r>
  <r>
    <n v="133"/>
    <x v="290"/>
    <x v="6"/>
    <x v="0"/>
    <x v="0"/>
    <n v="6"/>
    <x v="0"/>
    <n v="12600"/>
  </r>
  <r>
    <n v="158"/>
    <x v="291"/>
    <x v="6"/>
    <x v="1"/>
    <x v="0"/>
    <n v="6"/>
    <x v="0"/>
    <n v="12600"/>
  </r>
  <r>
    <n v="208"/>
    <x v="292"/>
    <x v="6"/>
    <x v="1"/>
    <x v="0"/>
    <n v="6"/>
    <x v="0"/>
    <n v="12600"/>
  </r>
  <r>
    <n v="283"/>
    <x v="293"/>
    <x v="6"/>
    <x v="0"/>
    <x v="0"/>
    <n v="6"/>
    <x v="0"/>
    <n v="12600"/>
  </r>
  <r>
    <n v="66"/>
    <x v="294"/>
    <x v="6"/>
    <x v="3"/>
    <x v="2"/>
    <n v="5"/>
    <x v="1"/>
    <n v="7500"/>
  </r>
  <r>
    <n v="216"/>
    <x v="295"/>
    <x v="6"/>
    <x v="1"/>
    <x v="2"/>
    <n v="5"/>
    <x v="1"/>
    <n v="7500"/>
  </r>
  <r>
    <n v="241"/>
    <x v="296"/>
    <x v="6"/>
    <x v="0"/>
    <x v="2"/>
    <n v="5"/>
    <x v="1"/>
    <n v="7500"/>
  </r>
  <r>
    <n v="266"/>
    <x v="297"/>
    <x v="6"/>
    <x v="1"/>
    <x v="2"/>
    <n v="5"/>
    <x v="1"/>
    <n v="7500"/>
  </r>
  <r>
    <n v="295"/>
    <x v="298"/>
    <x v="6"/>
    <x v="0"/>
    <x v="2"/>
    <n v="5"/>
    <x v="1"/>
    <n v="7500"/>
  </r>
  <r>
    <n v="121"/>
    <x v="299"/>
    <x v="6"/>
    <x v="0"/>
    <x v="2"/>
    <n v="6"/>
    <x v="2"/>
    <n v="7200"/>
  </r>
  <r>
    <n v="215"/>
    <x v="300"/>
    <x v="6"/>
    <x v="2"/>
    <x v="1"/>
    <n v="6"/>
    <x v="2"/>
    <n v="7200"/>
  </r>
  <r>
    <n v="265"/>
    <x v="301"/>
    <x v="6"/>
    <x v="2"/>
    <x v="1"/>
    <n v="6"/>
    <x v="2"/>
    <n v="7200"/>
  </r>
  <r>
    <n v="54"/>
    <x v="302"/>
    <x v="6"/>
    <x v="1"/>
    <x v="2"/>
    <n v="4"/>
    <x v="1"/>
    <n v="6000"/>
  </r>
  <r>
    <n v="60"/>
    <x v="303"/>
    <x v="6"/>
    <x v="0"/>
    <x v="2"/>
    <n v="4"/>
    <x v="1"/>
    <n v="6000"/>
  </r>
  <r>
    <n v="79"/>
    <x v="304"/>
    <x v="6"/>
    <x v="0"/>
    <x v="2"/>
    <n v="4"/>
    <x v="1"/>
    <n v="6000"/>
  </r>
  <r>
    <n v="154"/>
    <x v="305"/>
    <x v="6"/>
    <x v="1"/>
    <x v="2"/>
    <n v="4"/>
    <x v="1"/>
    <n v="6000"/>
  </r>
  <r>
    <n v="160"/>
    <x v="306"/>
    <x v="6"/>
    <x v="3"/>
    <x v="2"/>
    <n v="4"/>
    <x v="1"/>
    <n v="6000"/>
  </r>
  <r>
    <n v="210"/>
    <x v="307"/>
    <x v="6"/>
    <x v="3"/>
    <x v="2"/>
    <n v="4"/>
    <x v="1"/>
    <n v="6000"/>
  </r>
  <r>
    <n v="229"/>
    <x v="308"/>
    <x v="6"/>
    <x v="0"/>
    <x v="2"/>
    <n v="4"/>
    <x v="1"/>
    <n v="6000"/>
  </r>
  <r>
    <n v="235"/>
    <x v="309"/>
    <x v="6"/>
    <x v="0"/>
    <x v="2"/>
    <n v="4"/>
    <x v="1"/>
    <n v="6000"/>
  </r>
  <r>
    <n v="336"/>
    <x v="310"/>
    <x v="6"/>
    <x v="3"/>
    <x v="2"/>
    <n v="4"/>
    <x v="1"/>
    <n v="6000"/>
  </r>
  <r>
    <n v="337"/>
    <x v="311"/>
    <x v="6"/>
    <x v="0"/>
    <x v="2"/>
    <n v="4"/>
    <x v="1"/>
    <n v="6000"/>
  </r>
  <r>
    <n v="343"/>
    <x v="312"/>
    <x v="6"/>
    <x v="0"/>
    <x v="2"/>
    <n v="4"/>
    <x v="1"/>
    <n v="6000"/>
  </r>
  <r>
    <n v="53"/>
    <x v="313"/>
    <x v="6"/>
    <x v="2"/>
    <x v="1"/>
    <n v="5"/>
    <x v="2"/>
    <n v="6000"/>
  </r>
  <r>
    <n v="103"/>
    <x v="314"/>
    <x v="6"/>
    <x v="2"/>
    <x v="1"/>
    <n v="5"/>
    <x v="2"/>
    <n v="6000"/>
  </r>
  <r>
    <n v="105"/>
    <x v="315"/>
    <x v="6"/>
    <x v="0"/>
    <x v="1"/>
    <n v="5"/>
    <x v="2"/>
    <n v="6000"/>
  </r>
  <r>
    <n v="108"/>
    <x v="316"/>
    <x v="6"/>
    <x v="1"/>
    <x v="1"/>
    <n v="5"/>
    <x v="2"/>
    <n v="6000"/>
  </r>
  <r>
    <n v="134"/>
    <x v="317"/>
    <x v="6"/>
    <x v="0"/>
    <x v="1"/>
    <n v="5"/>
    <x v="2"/>
    <n v="6000"/>
  </r>
  <r>
    <n v="159"/>
    <x v="318"/>
    <x v="6"/>
    <x v="0"/>
    <x v="1"/>
    <n v="5"/>
    <x v="2"/>
    <n v="6000"/>
  </r>
  <r>
    <n v="209"/>
    <x v="319"/>
    <x v="6"/>
    <x v="0"/>
    <x v="1"/>
    <n v="5"/>
    <x v="2"/>
    <n v="6000"/>
  </r>
  <r>
    <n v="228"/>
    <x v="320"/>
    <x v="6"/>
    <x v="3"/>
    <x v="1"/>
    <n v="5"/>
    <x v="2"/>
    <n v="6000"/>
  </r>
  <r>
    <n v="25"/>
    <x v="321"/>
    <x v="6"/>
    <x v="0"/>
    <x v="0"/>
    <n v="2"/>
    <x v="0"/>
    <n v="4200"/>
  </r>
  <r>
    <n v="100"/>
    <x v="322"/>
    <x v="6"/>
    <x v="1"/>
    <x v="0"/>
    <n v="2"/>
    <x v="0"/>
    <n v="4200"/>
  </r>
  <r>
    <n v="175"/>
    <x v="323"/>
    <x v="6"/>
    <x v="0"/>
    <x v="0"/>
    <n v="2"/>
    <x v="0"/>
    <n v="4200"/>
  </r>
  <r>
    <n v="350"/>
    <x v="324"/>
    <x v="6"/>
    <x v="0"/>
    <x v="0"/>
    <n v="2"/>
    <x v="0"/>
    <n v="4200"/>
  </r>
  <r>
    <n v="222"/>
    <x v="325"/>
    <x v="6"/>
    <x v="0"/>
    <x v="3"/>
    <n v="5"/>
    <x v="3"/>
    <n v="1500"/>
  </r>
  <r>
    <n v="26"/>
    <x v="326"/>
    <x v="6"/>
    <x v="0"/>
    <x v="4"/>
    <n v="7"/>
    <x v="4"/>
    <n v="1470"/>
  </r>
  <r>
    <n v="51"/>
    <x v="327"/>
    <x v="6"/>
    <x v="0"/>
    <x v="4"/>
    <n v="7"/>
    <x v="4"/>
    <n v="1470"/>
  </r>
  <r>
    <n v="101"/>
    <x v="328"/>
    <x v="6"/>
    <x v="0"/>
    <x v="4"/>
    <n v="7"/>
    <x v="4"/>
    <n v="1470"/>
  </r>
  <r>
    <n v="157"/>
    <x v="329"/>
    <x v="6"/>
    <x v="2"/>
    <x v="4"/>
    <n v="7"/>
    <x v="4"/>
    <n v="1470"/>
  </r>
  <r>
    <n v="282"/>
    <x v="330"/>
    <x v="6"/>
    <x v="3"/>
    <x v="4"/>
    <n v="7"/>
    <x v="4"/>
    <n v="1470"/>
  </r>
  <r>
    <n v="67"/>
    <x v="331"/>
    <x v="6"/>
    <x v="0"/>
    <x v="3"/>
    <n v="4"/>
    <x v="3"/>
    <n v="1200"/>
  </r>
  <r>
    <n v="242"/>
    <x v="332"/>
    <x v="6"/>
    <x v="0"/>
    <x v="3"/>
    <n v="4"/>
    <x v="3"/>
    <n v="1200"/>
  </r>
  <r>
    <n v="296"/>
    <x v="333"/>
    <x v="6"/>
    <x v="0"/>
    <x v="3"/>
    <n v="4"/>
    <x v="3"/>
    <n v="1200"/>
  </r>
  <r>
    <n v="80"/>
    <x v="334"/>
    <x v="6"/>
    <x v="0"/>
    <x v="3"/>
    <n v="3"/>
    <x v="3"/>
    <n v="900"/>
  </r>
  <r>
    <n v="155"/>
    <x v="335"/>
    <x v="6"/>
    <x v="0"/>
    <x v="3"/>
    <n v="3"/>
    <x v="3"/>
    <n v="900"/>
  </r>
  <r>
    <n v="161"/>
    <x v="336"/>
    <x v="6"/>
    <x v="2"/>
    <x v="3"/>
    <n v="3"/>
    <x v="3"/>
    <n v="900"/>
  </r>
  <r>
    <n v="211"/>
    <x v="337"/>
    <x v="6"/>
    <x v="2"/>
    <x v="3"/>
    <n v="3"/>
    <x v="3"/>
    <n v="900"/>
  </r>
  <r>
    <n v="174"/>
    <x v="338"/>
    <x v="6"/>
    <x v="3"/>
    <x v="4"/>
    <n v="3"/>
    <x v="6"/>
    <n v="570"/>
  </r>
  <r>
    <n v="181"/>
    <x v="339"/>
    <x v="6"/>
    <x v="0"/>
    <x v="4"/>
    <n v="3"/>
    <x v="6"/>
    <n v="570"/>
  </r>
  <r>
    <n v="349"/>
    <x v="340"/>
    <x v="6"/>
    <x v="0"/>
    <x v="4"/>
    <n v="3"/>
    <x v="6"/>
    <n v="570"/>
  </r>
  <r>
    <n v="168"/>
    <x v="341"/>
    <x v="6"/>
    <x v="0"/>
    <x v="5"/>
    <n v="3"/>
    <x v="6"/>
    <n v="570"/>
  </r>
  <r>
    <n v="318"/>
    <x v="342"/>
    <x v="6"/>
    <x v="3"/>
    <x v="5"/>
    <n v="3"/>
    <x v="6"/>
    <n v="570"/>
  </r>
  <r>
    <n v="13"/>
    <x v="343"/>
    <x v="6"/>
    <x v="0"/>
    <x v="4"/>
    <n v="2"/>
    <x v="4"/>
    <n v="420"/>
  </r>
  <r>
    <n v="19"/>
    <x v="344"/>
    <x v="6"/>
    <x v="0"/>
    <x v="4"/>
    <n v="2"/>
    <x v="4"/>
    <n v="420"/>
  </r>
  <r>
    <n v="73"/>
    <x v="345"/>
    <x v="6"/>
    <x v="0"/>
    <x v="4"/>
    <n v="2"/>
    <x v="4"/>
    <n v="420"/>
  </r>
  <r>
    <n v="188"/>
    <x v="346"/>
    <x v="6"/>
    <x v="0"/>
    <x v="4"/>
    <n v="2"/>
    <x v="4"/>
    <n v="420"/>
  </r>
  <r>
    <n v="213"/>
    <x v="347"/>
    <x v="6"/>
    <x v="0"/>
    <x v="4"/>
    <n v="2"/>
    <x v="4"/>
    <n v="420"/>
  </r>
  <r>
    <n v="263"/>
    <x v="348"/>
    <x v="6"/>
    <x v="0"/>
    <x v="4"/>
    <n v="2"/>
    <x v="4"/>
    <n v="420"/>
  </r>
  <r>
    <n v="319"/>
    <x v="349"/>
    <x v="6"/>
    <x v="2"/>
    <x v="4"/>
    <n v="2"/>
    <x v="4"/>
    <n v="420"/>
  </r>
  <r>
    <n v="320"/>
    <x v="350"/>
    <x v="6"/>
    <x v="1"/>
    <x v="4"/>
    <n v="2"/>
    <x v="4"/>
    <n v="420"/>
  </r>
  <r>
    <n v="321"/>
    <x v="351"/>
    <x v="6"/>
    <x v="0"/>
    <x v="4"/>
    <n v="2"/>
    <x v="4"/>
    <n v="420"/>
  </r>
  <r>
    <n v="322"/>
    <x v="352"/>
    <x v="6"/>
    <x v="3"/>
    <x v="4"/>
    <n v="2"/>
    <x v="4"/>
    <n v="420"/>
  </r>
  <r>
    <n v="323"/>
    <x v="353"/>
    <x v="6"/>
    <x v="2"/>
    <x v="4"/>
    <n v="2"/>
    <x v="4"/>
    <n v="420"/>
  </r>
  <r>
    <n v="324"/>
    <x v="354"/>
    <x v="6"/>
    <x v="1"/>
    <x v="4"/>
    <n v="2"/>
    <x v="4"/>
    <n v="420"/>
  </r>
  <r>
    <n v="330"/>
    <x v="355"/>
    <x v="6"/>
    <x v="0"/>
    <x v="4"/>
    <n v="2"/>
    <x v="4"/>
    <n v="420"/>
  </r>
  <r>
    <n v="6"/>
    <x v="356"/>
    <x v="6"/>
    <x v="0"/>
    <x v="5"/>
    <n v="2"/>
    <x v="6"/>
    <n v="380"/>
  </r>
  <r>
    <n v="12"/>
    <x v="357"/>
    <x v="6"/>
    <x v="3"/>
    <x v="5"/>
    <n v="2"/>
    <x v="6"/>
    <n v="380"/>
  </r>
  <r>
    <n v="106"/>
    <x v="358"/>
    <x v="6"/>
    <x v="3"/>
    <x v="5"/>
    <n v="2"/>
    <x v="6"/>
    <n v="380"/>
  </r>
  <r>
    <n v="156"/>
    <x v="359"/>
    <x v="6"/>
    <x v="3"/>
    <x v="5"/>
    <n v="2"/>
    <x v="6"/>
    <n v="380"/>
  </r>
  <r>
    <n v="162"/>
    <x v="360"/>
    <x v="6"/>
    <x v="1"/>
    <x v="5"/>
    <n v="2"/>
    <x v="6"/>
    <n v="380"/>
  </r>
  <r>
    <n v="187"/>
    <x v="361"/>
    <x v="6"/>
    <x v="0"/>
    <x v="5"/>
    <n v="2"/>
    <x v="6"/>
    <n v="380"/>
  </r>
  <r>
    <n v="212"/>
    <x v="362"/>
    <x v="6"/>
    <x v="1"/>
    <x v="5"/>
    <n v="2"/>
    <x v="6"/>
    <n v="380"/>
  </r>
  <r>
    <n v="262"/>
    <x v="363"/>
    <x v="6"/>
    <x v="1"/>
    <x v="5"/>
    <n v="2"/>
    <x v="6"/>
    <n v="380"/>
  </r>
  <r>
    <n v="316"/>
    <x v="364"/>
    <x v="6"/>
    <x v="1"/>
    <x v="5"/>
    <n v="2"/>
    <x v="6"/>
    <n v="380"/>
  </r>
  <r>
    <n v="317"/>
    <x v="365"/>
    <x v="6"/>
    <x v="0"/>
    <x v="5"/>
    <n v="2"/>
    <x v="6"/>
    <n v="3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FBDBD-3562-4F7E-BA49-AB485406329D}"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67:K71"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axis="axisRow" showAll="0" measureFilter="1">
      <items count="7">
        <item x="5"/>
        <item x="1"/>
        <item x="4"/>
        <item x="0"/>
        <item x="2"/>
        <item x="3"/>
        <item t="default"/>
      </items>
    </pivotField>
    <pivotField numFmtId="164" showAll="0"/>
    <pivotField numFmtId="164" showAll="0">
      <items count="9">
        <item x="7"/>
        <item x="6"/>
        <item x="5"/>
        <item x="4"/>
        <item x="3"/>
        <item x="2"/>
        <item x="1"/>
        <item x="0"/>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2"/>
    </i>
    <i>
      <x v="5"/>
    </i>
    <i t="grand">
      <x/>
    </i>
  </rowItems>
  <colItems count="1">
    <i/>
  </colItems>
  <dataFields count="1">
    <dataField name="Sum of Amount" fld="7" baseField="0" baseItem="0"/>
  </dataFields>
  <chartFormats count="15">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4" count="1" selected="0">
            <x v="0"/>
          </reference>
        </references>
      </pivotArea>
    </chartFormat>
    <chartFormat chart="17" format="6">
      <pivotArea type="data" outline="0" fieldPosition="0">
        <references count="2">
          <reference field="4294967294" count="1" selected="0">
            <x v="0"/>
          </reference>
          <reference field="4" count="1" selected="0">
            <x v="2"/>
          </reference>
        </references>
      </pivotArea>
    </chartFormat>
    <chartFormat chart="17" format="7">
      <pivotArea type="data" outline="0" fieldPosition="0">
        <references count="2">
          <reference field="4294967294" count="1" selected="0">
            <x v="0"/>
          </reference>
          <reference field="4" count="1" selected="0">
            <x v="5"/>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4" count="1" selected="0">
            <x v="0"/>
          </reference>
        </references>
      </pivotArea>
    </chartFormat>
    <chartFormat chart="18" format="10">
      <pivotArea type="data" outline="0" fieldPosition="0">
        <references count="2">
          <reference field="4294967294" count="1" selected="0">
            <x v="0"/>
          </reference>
          <reference field="4" count="1" selected="0">
            <x v="2"/>
          </reference>
        </references>
      </pivotArea>
    </chartFormat>
    <chartFormat chart="18" format="11">
      <pivotArea type="data" outline="0" fieldPosition="0">
        <references count="2">
          <reference field="4294967294" count="1" selected="0">
            <x v="0"/>
          </reference>
          <reference field="4" count="1" selected="0">
            <x v="5"/>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4" count="1" selected="0">
            <x v="0"/>
          </reference>
        </references>
      </pivotArea>
    </chartFormat>
    <chartFormat chart="20" format="10">
      <pivotArea type="data" outline="0" fieldPosition="0">
        <references count="2">
          <reference field="4294967294" count="1" selected="0">
            <x v="0"/>
          </reference>
          <reference field="4" count="1" selected="0">
            <x v="2"/>
          </reference>
        </references>
      </pivotArea>
    </chartFormat>
    <chartFormat chart="20" format="11">
      <pivotArea type="data" outline="0" fieldPosition="0">
        <references count="2">
          <reference field="4294967294" count="1" selected="0">
            <x v="0"/>
          </reference>
          <reference field="4" count="1" selected="0">
            <x v="5"/>
          </reference>
        </references>
      </pivotArea>
    </chartFormat>
    <chartFormat chart="20" format="1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4B7EC4-2BB2-4EF5-B600-5008C675036B}"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0:A41" firstHeaderRow="1" firstDataRow="1" firstDataCol="0"/>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showAll="0">
      <items count="7">
        <item x="5"/>
        <item x="1"/>
        <item x="4"/>
        <item x="0"/>
        <item x="2"/>
        <item x="3"/>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D1360-F76B-4580-8C92-496C03A8EBA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6:A37" firstHeaderRow="1" firstDataRow="1" firstDataCol="0"/>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showAll="0">
      <items count="7">
        <item x="5"/>
        <item x="1"/>
        <item x="4"/>
        <item x="0"/>
        <item x="2"/>
        <item x="3"/>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CE9335-C078-4DF4-9ABB-A895AEB15CB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J3:K10"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axis="axisRow"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64"/>
  </dataFields>
  <chartFormats count="1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0" format="7">
      <pivotArea type="data" outline="0" fieldPosition="0">
        <references count="2">
          <reference field="4294967294" count="1" selected="0">
            <x v="0"/>
          </reference>
          <reference field="4" count="1" selected="0">
            <x v="5"/>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4" count="1" selected="0">
            <x v="0"/>
          </reference>
        </references>
      </pivotArea>
    </chartFormat>
    <chartFormat chart="7" format="23">
      <pivotArea type="data" outline="0" fieldPosition="0">
        <references count="2">
          <reference field="4294967294" count="1" selected="0">
            <x v="0"/>
          </reference>
          <reference field="4" count="1" selected="0">
            <x v="1"/>
          </reference>
        </references>
      </pivotArea>
    </chartFormat>
    <chartFormat chart="7" format="24">
      <pivotArea type="data" outline="0" fieldPosition="0">
        <references count="2">
          <reference field="4294967294" count="1" selected="0">
            <x v="0"/>
          </reference>
          <reference field="4" count="1" selected="0">
            <x v="2"/>
          </reference>
        </references>
      </pivotArea>
    </chartFormat>
    <chartFormat chart="7" format="25">
      <pivotArea type="data" outline="0" fieldPosition="0">
        <references count="2">
          <reference field="4294967294" count="1" selected="0">
            <x v="0"/>
          </reference>
          <reference field="4" count="1" selected="0">
            <x v="3"/>
          </reference>
        </references>
      </pivotArea>
    </chartFormat>
    <chartFormat chart="7" format="26">
      <pivotArea type="data" outline="0" fieldPosition="0">
        <references count="2">
          <reference field="4294967294" count="1" selected="0">
            <x v="0"/>
          </reference>
          <reference field="4" count="1" selected="0">
            <x v="4"/>
          </reference>
        </references>
      </pivotArea>
    </chartFormat>
    <chartFormat chart="7" format="2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16EE89-1C37-4553-B74D-736B3DA6D15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10"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axis="axisRow" showAll="0">
      <items count="7">
        <item x="5"/>
        <item x="1"/>
        <item x="4"/>
        <item x="0"/>
        <item x="2"/>
        <item x="3"/>
        <item t="default"/>
      </items>
    </pivotField>
    <pivotField numFmtId="164" showAll="0"/>
    <pivotField numFmtId="164" showAll="0">
      <items count="9">
        <item x="7"/>
        <item x="6"/>
        <item x="5"/>
        <item x="4"/>
        <item x="3"/>
        <item x="2"/>
        <item x="1"/>
        <item x="0"/>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C5EEA2-563D-4653-AA35-EB36CF41B94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D3:E8"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axis="axisRow" showAll="0">
      <items count="5">
        <item x="0"/>
        <item x="2"/>
        <item x="1"/>
        <item x="3"/>
        <item t="default"/>
      </items>
    </pivotField>
    <pivotField showAll="0">
      <items count="7">
        <item x="5"/>
        <item x="1"/>
        <item x="4"/>
        <item x="0"/>
        <item x="2"/>
        <item x="3"/>
        <item t="default"/>
      </items>
    </pivotField>
    <pivotField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Price" fld="6" baseField="0" baseItem="0" numFmtId="1"/>
  </dataFields>
  <formats count="1">
    <format dxfId="2">
      <pivotArea outline="0" collapsedLevelsAreSubtotals="1" fieldPosition="0"/>
    </format>
  </format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875C92-2C64-43F7-903C-1C061A62A771}"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H58:I65"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axis="axisRow" showAll="0">
      <items count="7">
        <item x="5"/>
        <item x="1"/>
        <item x="4"/>
        <item x="0"/>
        <item x="2"/>
        <item x="3"/>
        <item t="default"/>
      </items>
    </pivotField>
    <pivotField numFmtId="164" showAll="0"/>
    <pivotField numFmtId="164" showAll="0">
      <items count="9">
        <item x="7"/>
        <item x="6"/>
        <item x="5"/>
        <item x="4"/>
        <item x="3"/>
        <item x="2"/>
        <item x="1"/>
        <item x="0"/>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16">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1"/>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3"/>
          </reference>
        </references>
      </pivotArea>
    </chartFormat>
    <chartFormat chart="15" format="4">
      <pivotArea type="data" outline="0" fieldPosition="0">
        <references count="2">
          <reference field="4294967294" count="1" selected="0">
            <x v="0"/>
          </reference>
          <reference field="4" count="1" selected="0">
            <x v="4"/>
          </reference>
        </references>
      </pivotArea>
    </chartFormat>
    <chartFormat chart="15" format="5">
      <pivotArea type="data" outline="0" fieldPosition="0">
        <references count="2">
          <reference field="4294967294" count="1" selected="0">
            <x v="0"/>
          </reference>
          <reference field="4" count="1" selected="0">
            <x v="5"/>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4" count="1" selected="0">
            <x v="0"/>
          </reference>
        </references>
      </pivotArea>
    </chartFormat>
    <chartFormat chart="20" format="14">
      <pivotArea type="data" outline="0" fieldPosition="0">
        <references count="2">
          <reference field="4294967294" count="1" selected="0">
            <x v="0"/>
          </reference>
          <reference field="4" count="1" selected="0">
            <x v="1"/>
          </reference>
        </references>
      </pivotArea>
    </chartFormat>
    <chartFormat chart="20" format="15">
      <pivotArea type="data" outline="0" fieldPosition="0">
        <references count="2">
          <reference field="4294967294" count="1" selected="0">
            <x v="0"/>
          </reference>
          <reference field="4" count="1" selected="0">
            <x v="3"/>
          </reference>
        </references>
      </pivotArea>
    </chartFormat>
    <chartFormat chart="20" format="16">
      <pivotArea type="data" outline="0" fieldPosition="0">
        <references count="2">
          <reference field="4294967294" count="1" selected="0">
            <x v="0"/>
          </reference>
          <reference field="4" count="1" selected="0">
            <x v="4"/>
          </reference>
        </references>
      </pivotArea>
    </chartFormat>
    <chartFormat chart="20" format="17">
      <pivotArea type="data" outline="0" fieldPosition="0">
        <references count="2">
          <reference field="4294967294" count="1" selected="0">
            <x v="0"/>
          </reference>
          <reference field="4" count="1" selected="0">
            <x v="5"/>
          </reference>
        </references>
      </pivotArea>
    </chartFormat>
    <chartFormat chart="15" format="6">
      <pivotArea type="data" outline="0" fieldPosition="0">
        <references count="2">
          <reference field="4294967294" count="1" selected="0">
            <x v="0"/>
          </reference>
          <reference field="4" count="1" selected="0">
            <x v="2"/>
          </reference>
        </references>
      </pivotArea>
    </chartFormat>
    <chartFormat chart="20" format="1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EE8264-4E52-4E8A-ABDD-EE639602E33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3:A44" firstHeaderRow="1" firstDataRow="1" firstDataCol="0"/>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Qty" fld="5"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C4B09E-2133-491E-8925-F7ED80AF7933}"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G67:H71"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showAll="0">
      <items count="5">
        <item x="0"/>
        <item x="2"/>
        <item x="1"/>
        <item x="3"/>
        <item t="default"/>
      </items>
    </pivotField>
    <pivotField axis="axisRow" showAll="0" measureFilter="1">
      <items count="7">
        <item x="5"/>
        <item x="1"/>
        <item x="4"/>
        <item x="0"/>
        <item x="2"/>
        <item x="3"/>
        <item t="default"/>
      </items>
    </pivotField>
    <pivotField numFmtId="164" showAll="0"/>
    <pivotField numFmtId="164" showAll="0">
      <items count="9">
        <item x="7"/>
        <item x="6"/>
        <item x="5"/>
        <item x="4"/>
        <item x="3"/>
        <item x="2"/>
        <item x="1"/>
        <item x="0"/>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3"/>
    </i>
    <i>
      <x v="4"/>
    </i>
    <i t="grand">
      <x/>
    </i>
  </rowItems>
  <colItems count="1">
    <i/>
  </colItems>
  <dataFields count="1">
    <dataField name="Sum of Amount" fld="7" baseField="0" baseItem="0"/>
  </dataFields>
  <chartFormats count="4">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DE28C7-D2BA-48A6-87CF-768F1CEAA44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N3:O8"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showAll="0">
      <items count="8">
        <item x="2"/>
        <item x="0"/>
        <item x="1"/>
        <item x="3"/>
        <item x="4"/>
        <item x="5"/>
        <item x="6"/>
        <item t="default"/>
      </items>
    </pivotField>
    <pivotField axis="axisRow" showAll="0">
      <items count="5">
        <item x="0"/>
        <item x="2"/>
        <item x="1"/>
        <item x="3"/>
        <item t="default"/>
      </items>
    </pivotField>
    <pivotField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Qty" fld="5" baseField="0" baseItem="0" numFmtId="164"/>
  </dataFields>
  <formats count="1">
    <format dxfId="4">
      <pivotArea collapsedLevelsAreSubtotals="1" fieldPosition="0">
        <references count="1">
          <reference field="3"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9BEE8C-EB01-4E01-BD96-7A92FAF54BB2}"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D43:E51"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axis="axisRow" showAll="0">
      <items count="8">
        <item sd="0" x="2"/>
        <item sd="0" x="0"/>
        <item sd="0" x="1"/>
        <item sd="0" x="3"/>
        <item sd="0" x="4"/>
        <item sd="0" x="5"/>
        <item sd="0" x="6"/>
        <item t="default"/>
      </items>
    </pivotField>
    <pivotField showAll="0">
      <items count="5">
        <item x="0"/>
        <item x="2"/>
        <item x="1"/>
        <item x="3"/>
        <item t="default"/>
      </items>
    </pivotField>
    <pivotField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Items count="1">
    <i/>
  </colItems>
  <dataFields count="1">
    <dataField name="Sum of Qty" fld="5" showDataAs="percentOfCol" baseField="0" baseItem="0" numFmtId="10"/>
  </dataFields>
  <chartFormats count="5">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367940-0787-480E-BD22-632791827D9D}"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G43:H51"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axis="axisRow" showAll="0">
      <items count="8">
        <item sd="0" x="2"/>
        <item sd="0" x="0"/>
        <item sd="0" x="1"/>
        <item sd="0" x="3"/>
        <item sd="0" x="4"/>
        <item sd="0" x="5"/>
        <item sd="0" x="6"/>
        <item t="default"/>
      </items>
    </pivotField>
    <pivotField showAll="0">
      <items count="5">
        <item x="0"/>
        <item x="2"/>
        <item x="1"/>
        <item x="3"/>
        <item t="default"/>
      </items>
    </pivotField>
    <pivotField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Items count="1">
    <i/>
  </colItems>
  <dataFields count="1">
    <dataField name="Sum of Qty" fld="5" showDataAs="percentOfCol" baseField="0" baseItem="0" numFmtId="10"/>
  </dataFields>
  <chartFormats count="17">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 count="1" selected="0">
            <x v="2"/>
          </reference>
        </references>
      </pivotArea>
    </chartFormat>
    <chartFormat chart="16" format="2">
      <pivotArea type="data" outline="0" fieldPosition="0">
        <references count="2">
          <reference field="4294967294" count="1" selected="0">
            <x v="0"/>
          </reference>
          <reference field="2" count="1" selected="0">
            <x v="5"/>
          </reference>
        </references>
      </pivotArea>
    </chartFormat>
    <chartFormat chart="16" format="3">
      <pivotArea type="data" outline="0" fieldPosition="0">
        <references count="2">
          <reference field="4294967294" count="1" selected="0">
            <x v="0"/>
          </reference>
          <reference field="2" count="1" selected="0">
            <x v="6"/>
          </reference>
        </references>
      </pivotArea>
    </chartFormat>
    <chartFormat chart="16" format="4">
      <pivotArea type="data" outline="0" fieldPosition="0">
        <references count="2">
          <reference field="4294967294" count="1" selected="0">
            <x v="0"/>
          </reference>
          <reference field="2"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2" count="1" selected="0">
            <x v="1"/>
          </reference>
        </references>
      </pivotArea>
    </chartFormat>
    <chartFormat chart="20" format="12">
      <pivotArea type="data" outline="0" fieldPosition="0">
        <references count="2">
          <reference field="4294967294" count="1" selected="0">
            <x v="0"/>
          </reference>
          <reference field="2" count="1" selected="0">
            <x v="2"/>
          </reference>
        </references>
      </pivotArea>
    </chartFormat>
    <chartFormat chart="20" format="13">
      <pivotArea type="data" outline="0" fieldPosition="0">
        <references count="2">
          <reference field="4294967294" count="1" selected="0">
            <x v="0"/>
          </reference>
          <reference field="2" count="1" selected="0">
            <x v="5"/>
          </reference>
        </references>
      </pivotArea>
    </chartFormat>
    <chartFormat chart="20" format="14">
      <pivotArea type="data" outline="0" fieldPosition="0">
        <references count="2">
          <reference field="4294967294" count="1" selected="0">
            <x v="0"/>
          </reference>
          <reference field="2" count="1" selected="0">
            <x v="6"/>
          </reference>
        </references>
      </pivotArea>
    </chartFormat>
    <chartFormat chart="16" format="5">
      <pivotArea type="data" outline="0" fieldPosition="0">
        <references count="2">
          <reference field="4294967294" count="1" selected="0">
            <x v="0"/>
          </reference>
          <reference field="2" count="1" selected="0">
            <x v="3"/>
          </reference>
        </references>
      </pivotArea>
    </chartFormat>
    <chartFormat chart="20" format="15">
      <pivotArea type="data" outline="0" fieldPosition="0">
        <references count="2">
          <reference field="4294967294" count="1" selected="0">
            <x v="0"/>
          </reference>
          <reference field="2" count="1" selected="0">
            <x v="3"/>
          </reference>
        </references>
      </pivotArea>
    </chartFormat>
    <chartFormat chart="16" format="6">
      <pivotArea type="data" outline="0" fieldPosition="0">
        <references count="2">
          <reference field="4294967294" count="1" selected="0">
            <x v="0"/>
          </reference>
          <reference field="2" count="1" selected="0">
            <x v="4"/>
          </reference>
        </references>
      </pivotArea>
    </chartFormat>
    <chartFormat chart="20" format="1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794FF8-E903-4CBB-945A-C3E154E07506}"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J43:K51"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axis="axisRow" showAll="0">
      <items count="8">
        <item sd="0" x="2"/>
        <item sd="0" x="0"/>
        <item sd="0" x="1"/>
        <item sd="0" x="3"/>
        <item sd="0" x="4"/>
        <item sd="0" x="5"/>
        <item sd="0" x="6"/>
        <item t="default"/>
      </items>
    </pivotField>
    <pivotField showAll="0">
      <items count="5">
        <item x="0"/>
        <item x="2"/>
        <item x="1"/>
        <item x="3"/>
        <item t="default"/>
      </items>
    </pivotField>
    <pivotField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Items count="1">
    <i/>
  </colItems>
  <dataFields count="1">
    <dataField name="Sum of Qty" fld="5" showDataAs="percentOfCol" baseField="0" baseItem="0" numFmtId="10"/>
  </dataFields>
  <chartFormats count="5">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3ED19E-F31A-4839-98B0-A9A7117045A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G3:H11" firstHeaderRow="1" firstDataRow="1" firstDataCol="1"/>
  <pivotFields count="11">
    <pivotField showAll="0"/>
    <pivotField numFmtId="14" showAll="0">
      <items count="367">
        <item x="0"/>
        <item x="186"/>
        <item x="187"/>
        <item x="188"/>
        <item x="152"/>
        <item x="84"/>
        <item x="119"/>
        <item x="270"/>
        <item x="271"/>
        <item x="272"/>
        <item x="273"/>
        <item x="274"/>
        <item x="85"/>
        <item x="275"/>
        <item x="1"/>
        <item x="189"/>
        <item x="2"/>
        <item x="276"/>
        <item x="120"/>
        <item x="86"/>
        <item x="3"/>
        <item x="190"/>
        <item x="277"/>
        <item x="278"/>
        <item x="279"/>
        <item x="280"/>
        <item x="281"/>
        <item x="4"/>
        <item x="191"/>
        <item x="153"/>
        <item x="87"/>
        <item x="121"/>
        <item x="282"/>
        <item x="5"/>
        <item x="283"/>
        <item x="6"/>
        <item x="284"/>
        <item x="192"/>
        <item x="7"/>
        <item x="88"/>
        <item x="193"/>
        <item x="194"/>
        <item x="195"/>
        <item x="8"/>
        <item x="285"/>
        <item x="89"/>
        <item x="9"/>
        <item x="286"/>
        <item x="287"/>
        <item x="288"/>
        <item x="10"/>
        <item x="154"/>
        <item x="289"/>
        <item x="290"/>
        <item x="90"/>
        <item x="291"/>
        <item x="196"/>
        <item x="292"/>
        <item x="122"/>
        <item x="91"/>
        <item x="197"/>
        <item x="293"/>
        <item x="11"/>
        <item x="155"/>
        <item x="12"/>
        <item x="13"/>
        <item x="198"/>
        <item x="199"/>
        <item x="200"/>
        <item x="201"/>
        <item x="202"/>
        <item x="203"/>
        <item x="156"/>
        <item x="294"/>
        <item x="204"/>
        <item x="14"/>
        <item x="92"/>
        <item x="15"/>
        <item x="295"/>
        <item x="296"/>
        <item x="16"/>
        <item x="205"/>
        <item x="297"/>
        <item x="206"/>
        <item x="93"/>
        <item x="298"/>
        <item x="17"/>
        <item x="18"/>
        <item x="19"/>
        <item x="207"/>
        <item x="208"/>
        <item x="299"/>
        <item x="157"/>
        <item x="20"/>
        <item x="123"/>
        <item x="158"/>
        <item x="209"/>
        <item x="210"/>
        <item x="124"/>
        <item x="21"/>
        <item x="22"/>
        <item x="159"/>
        <item x="23"/>
        <item x="300"/>
        <item x="125"/>
        <item x="24"/>
        <item x="211"/>
        <item x="301"/>
        <item x="25"/>
        <item x="212"/>
        <item x="94"/>
        <item x="95"/>
        <item x="302"/>
        <item x="303"/>
        <item x="304"/>
        <item x="26"/>
        <item x="213"/>
        <item x="27"/>
        <item x="305"/>
        <item x="306"/>
        <item x="96"/>
        <item x="214"/>
        <item x="307"/>
        <item x="308"/>
        <item x="309"/>
        <item x="97"/>
        <item x="160"/>
        <item x="215"/>
        <item x="28"/>
        <item x="126"/>
        <item x="310"/>
        <item x="311"/>
        <item x="29"/>
        <item x="216"/>
        <item x="161"/>
        <item x="98"/>
        <item x="127"/>
        <item x="312"/>
        <item x="30"/>
        <item x="162"/>
        <item x="163"/>
        <item x="313"/>
        <item x="128"/>
        <item x="129"/>
        <item x="31"/>
        <item x="314"/>
        <item x="315"/>
        <item x="316"/>
        <item x="217"/>
        <item x="99"/>
        <item x="32"/>
        <item x="317"/>
        <item x="130"/>
        <item x="318"/>
        <item x="164"/>
        <item x="218"/>
        <item x="319"/>
        <item x="320"/>
        <item x="165"/>
        <item x="219"/>
        <item x="33"/>
        <item x="34"/>
        <item x="100"/>
        <item x="35"/>
        <item x="321"/>
        <item x="322"/>
        <item x="101"/>
        <item x="323"/>
        <item x="220"/>
        <item x="166"/>
        <item x="324"/>
        <item x="167"/>
        <item x="36"/>
        <item x="102"/>
        <item x="221"/>
        <item x="325"/>
        <item x="103"/>
        <item x="37"/>
        <item x="38"/>
        <item x="326"/>
        <item x="39"/>
        <item x="40"/>
        <item x="41"/>
        <item x="42"/>
        <item x="43"/>
        <item x="44"/>
        <item x="45"/>
        <item x="222"/>
        <item x="223"/>
        <item x="327"/>
        <item x="168"/>
        <item x="46"/>
        <item x="328"/>
        <item x="131"/>
        <item x="132"/>
        <item x="329"/>
        <item x="47"/>
        <item x="224"/>
        <item x="133"/>
        <item x="104"/>
        <item x="169"/>
        <item x="225"/>
        <item x="330"/>
        <item x="226"/>
        <item x="48"/>
        <item x="49"/>
        <item x="105"/>
        <item x="331"/>
        <item x="170"/>
        <item x="50"/>
        <item x="227"/>
        <item x="228"/>
        <item x="229"/>
        <item x="230"/>
        <item x="231"/>
        <item x="232"/>
        <item x="233"/>
        <item x="171"/>
        <item x="134"/>
        <item x="51"/>
        <item x="52"/>
        <item x="332"/>
        <item x="53"/>
        <item x="234"/>
        <item x="172"/>
        <item x="135"/>
        <item x="333"/>
        <item x="54"/>
        <item x="55"/>
        <item x="136"/>
        <item x="137"/>
        <item x="56"/>
        <item x="57"/>
        <item x="334"/>
        <item x="58"/>
        <item x="235"/>
        <item x="236"/>
        <item x="237"/>
        <item x="238"/>
        <item x="239"/>
        <item x="240"/>
        <item x="241"/>
        <item x="242"/>
        <item x="173"/>
        <item x="106"/>
        <item x="174"/>
        <item x="59"/>
        <item x="335"/>
        <item x="336"/>
        <item x="138"/>
        <item x="175"/>
        <item x="337"/>
        <item x="60"/>
        <item x="61"/>
        <item x="62"/>
        <item x="63"/>
        <item x="139"/>
        <item x="107"/>
        <item x="176"/>
        <item x="243"/>
        <item x="64"/>
        <item x="108"/>
        <item x="244"/>
        <item x="140"/>
        <item x="245"/>
        <item x="65"/>
        <item x="141"/>
        <item x="142"/>
        <item x="143"/>
        <item x="177"/>
        <item x="338"/>
        <item x="246"/>
        <item x="178"/>
        <item x="109"/>
        <item x="144"/>
        <item x="339"/>
        <item x="66"/>
        <item x="247"/>
        <item x="248"/>
        <item x="249"/>
        <item x="340"/>
        <item x="145"/>
        <item x="67"/>
        <item x="179"/>
        <item x="146"/>
        <item x="68"/>
        <item x="180"/>
        <item x="110"/>
        <item x="250"/>
        <item x="341"/>
        <item x="69"/>
        <item x="251"/>
        <item x="342"/>
        <item x="343"/>
        <item x="344"/>
        <item x="252"/>
        <item x="181"/>
        <item x="253"/>
        <item x="111"/>
        <item x="345"/>
        <item x="254"/>
        <item x="112"/>
        <item x="70"/>
        <item x="147"/>
        <item x="148"/>
        <item x="71"/>
        <item x="72"/>
        <item x="73"/>
        <item x="346"/>
        <item x="74"/>
        <item x="347"/>
        <item x="182"/>
        <item x="183"/>
        <item x="75"/>
        <item x="255"/>
        <item x="348"/>
        <item x="149"/>
        <item x="349"/>
        <item x="350"/>
        <item x="351"/>
        <item x="352"/>
        <item x="353"/>
        <item x="354"/>
        <item x="76"/>
        <item x="256"/>
        <item x="184"/>
        <item x="113"/>
        <item x="150"/>
        <item x="355"/>
        <item x="77"/>
        <item x="356"/>
        <item x="357"/>
        <item x="257"/>
        <item x="258"/>
        <item x="259"/>
        <item x="78"/>
        <item x="79"/>
        <item x="358"/>
        <item x="114"/>
        <item x="80"/>
        <item x="359"/>
        <item x="360"/>
        <item x="361"/>
        <item x="115"/>
        <item x="362"/>
        <item x="260"/>
        <item x="261"/>
        <item x="81"/>
        <item x="262"/>
        <item x="363"/>
        <item x="118"/>
        <item x="116"/>
        <item x="263"/>
        <item x="264"/>
        <item x="265"/>
        <item x="266"/>
        <item x="267"/>
        <item x="268"/>
        <item x="269"/>
        <item x="185"/>
        <item x="117"/>
        <item x="151"/>
        <item x="364"/>
        <item x="365"/>
        <item x="82"/>
        <item x="83"/>
        <item t="default"/>
      </items>
    </pivotField>
    <pivotField axis="axisRow" showAll="0">
      <items count="8">
        <item sd="0" x="2"/>
        <item sd="0" x="0"/>
        <item sd="0" x="1"/>
        <item sd="0" x="3"/>
        <item sd="0" x="4"/>
        <item sd="0" x="5"/>
        <item sd="0" x="6"/>
        <item t="default"/>
      </items>
    </pivotField>
    <pivotField showAll="0">
      <items count="5">
        <item x="0"/>
        <item x="2"/>
        <item x="1"/>
        <item x="3"/>
        <item t="default"/>
      </items>
    </pivotField>
    <pivotField showAll="0">
      <items count="7">
        <item x="5"/>
        <item x="1"/>
        <item x="4"/>
        <item x="0"/>
        <item x="2"/>
        <item x="3"/>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Items count="1">
    <i/>
  </colItems>
  <dataFields count="1">
    <dataField name="Sum of Qty" fld="5" baseField="0" baseItem="0" numFmtId="164"/>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6607C91D-ACDB-4E5B-B284-85BAC1508759}" sourceName="Salesman">
  <pivotTables>
    <pivotTable tabId="6" name="PivotTable1"/>
    <pivotTable tabId="6" name="PivotTable2"/>
    <pivotTable tabId="6" name="PivotTable4"/>
    <pivotTable tabId="6" name="PivotTable6"/>
    <pivotTable tabId="6" name="PivotTable12"/>
    <pivotTable tabId="6" name="PivotTable13"/>
    <pivotTable tabId="6" name="PivotTable14"/>
    <pivotTable tabId="6" name="PivotTable21"/>
    <pivotTable tabId="6" name="PivotTable24"/>
    <pivotTable tabId="6" name="PivotTable25"/>
  </pivotTables>
  <data>
    <tabular pivotCacheId="369466114">
      <items count="7">
        <i x="2" s="1"/>
        <i x="0" s="1"/>
        <i x="1"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733AD2-D7D6-45FB-A4FA-9D2FCB6BA9CD}" sourceName="Region">
  <pivotTables>
    <pivotTable tabId="6" name="PivotTable1"/>
    <pivotTable tabId="6" name="PivotTable3"/>
    <pivotTable tabId="6" name="PivotTable4"/>
    <pivotTable tabId="6" name="PivotTable12"/>
    <pivotTable tabId="6" name="PivotTable13"/>
    <pivotTable tabId="6" name="PivotTable14"/>
    <pivotTable tabId="6" name="PivotTable18"/>
    <pivotTable tabId="6" name="PivotTable19"/>
    <pivotTable tabId="6" name="PivotTable20"/>
    <pivotTable tabId="6" name="PivotTable21"/>
    <pivotTable tabId="6" name="PivotTable24"/>
    <pivotTable tabId="6" name="PivotTable25"/>
  </pivotTables>
  <data>
    <tabular pivotCacheId="369466114">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7C3E853-A35D-458F-AA81-200F95E4C963}" sourceName="Item">
  <pivotTables>
    <pivotTable tabId="6" name="PivotTable2"/>
    <pivotTable tabId="6" name="PivotTable3"/>
    <pivotTable tabId="6" name="PivotTable6"/>
    <pivotTable tabId="6" name="PivotTable12"/>
    <pivotTable tabId="6" name="PivotTable13"/>
    <pivotTable tabId="6" name="PivotTable14"/>
    <pivotTable tabId="6" name="PivotTable18"/>
    <pivotTable tabId="6" name="PivotTable19"/>
    <pivotTable tabId="6" name="PivotTable20"/>
  </pivotTables>
  <data>
    <tabular pivotCacheId="369466114">
      <items count="6">
        <i x="5" s="1"/>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4" xr10:uid="{BAABBAF1-25C4-4D23-82E1-0295BC1CCB3A}" cache="Slicer_Salesman" caption="Salesman" rowHeight="324000"/>
  <slicer name="Region 4" xr10:uid="{07037CE3-B400-4349-BED9-E238FC2D1B59}" cache="Slicer_Region" caption="Region" rowHeight="432000"/>
  <slicer name="Item 4" xr10:uid="{CF6558F4-B2AD-44D2-B4E0-E8B84C777EC3}" cache="Slicer_Item" caption="Item" columnCount="6"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B5BB8087-DED3-474C-A95A-B27A007EDFAF}" cache="Slicer_Salesman" caption="Salesman" rowHeight="288000"/>
  <slicer name="Region" xr10:uid="{F0E2027D-8457-4F1F-887B-0B51415E71C6}" cache="Slicer_Region" caption="Region" columnCount="3" rowHeight="252000"/>
  <slicer name="Item" xr10:uid="{79D49F5C-68B6-4695-9332-175FA7091F16}" cache="Slicer_Item" caption="Item" rowHeight="32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1" xr10:uid="{97C8018E-B5CC-4282-87A6-A7B2099301DC}" cache="Slicer_Salesman" caption="Salesman" rowHeight="252000"/>
  <slicer name="Region 1" xr10:uid="{C6C08052-6283-45C8-8AB9-49F47A28978F}" cache="Slicer_Region" caption="Region" rowHeight="360000"/>
  <slicer name="Item 1" xr10:uid="{15E71412-C370-4495-8666-28DCE483769A}" cache="Slicer_Item" caption="Item" columnCount="6" rowHeight="28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2" xr10:uid="{61CB98F8-9779-498B-ABC1-46EAA1DCA1D6}" cache="Slicer_Salesman" caption="Salesman" rowHeight="252000"/>
  <slicer name="Region 2" xr10:uid="{A6D340A0-3968-4353-8C46-83C8A06EF46E}" cache="Slicer_Region" caption="Region" rowHeight="324000"/>
  <slicer name="Item 2" xr10:uid="{C9B6BE85-D7F6-4DA6-82CE-D9FD6E22D836}" cache="Slicer_Item" caption="Item" columnCount="6" rowHeight="288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3" xr10:uid="{FE1AD85D-7A80-477B-8077-2FF8E393141E}" cache="Slicer_Salesman" caption="Salesman" rowHeight="252000"/>
  <slicer name="Region 3" xr10:uid="{B4F35394-7AE4-4071-8048-3657E03B2A02}" cache="Slicer_Region" caption="Region" rowHeight="324000"/>
  <slicer name="Item 3" xr10:uid="{CA642059-B90B-43D8-8A75-F6411FC4FC90}" cache="Slicer_Item" caption="Item" columnCount="6" rowHeight="288000"/>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F3D7A5F-EA2E-40C2-AE92-30CC858A2095}" sourceName="Date">
  <pivotTables>
    <pivotTable tabId="6" name="PivotTable6"/>
    <pivotTable tabId="6" name="PivotTable1"/>
    <pivotTable tabId="6" name="PivotTable2"/>
    <pivotTable tabId="6" name="PivotTable3"/>
    <pivotTable tabId="6" name="PivotTable4"/>
    <pivotTable tabId="6" name="PivotTable12"/>
    <pivotTable tabId="6" name="PivotTable13"/>
    <pivotTable tabId="6" name="PivotTable14"/>
    <pivotTable tabId="6" name="PivotTable18"/>
    <pivotTable tabId="6" name="PivotTable19"/>
    <pivotTable tabId="6" name="PivotTable20"/>
    <pivotTable tabId="6" name="PivotTable21"/>
    <pivotTable tabId="6" name="PivotTable24"/>
    <pivotTable tabId="6" name="PivotTable25"/>
  </pivotTables>
  <state minimalRefreshVersion="6" lastRefreshVersion="6" pivotCacheId="369466114"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CEE45769-A754-40B5-805E-C8FF372B7B03}" cache="NativeTimeline_Date" caption="Date" showSelectionLabel="0" showTimeLevel="0" level="2" selectionLevel="2" scrollPosition="2021-12-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A1B29DE-B755-4AB6-843B-8C6E4648FBC6}" cache="NativeTimeline_Date" caption="Date" showSelectionLabel="0" showTimeLevel="0" showHorizontalScrollbar="0" level="2" selectionLevel="2" scrollPosition="2022-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8A5F432-8801-4FD2-AC15-953E77A0E987}" cache="NativeTimeline_Date" caption="Date" showSelectionLabel="0" showTimeLevel="0" showHorizontalScrollbar="0" level="2" selectionLevel="2" scrollPosition="2021-12-14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00E1E0E-ECBE-4787-908B-A1DCBBC1EEB7}" cache="NativeTimeline_Date" caption="Date" showSelectionLabel="0" showTimeLevel="0" showHorizontalScrollbar="0" level="2" selectionLevel="2" scrollPosition="2021-12-14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142821ED-37ED-4D51-B24B-4143AE5AB38B}" cache="NativeTimeline_Date" caption="Date" showSelectionLabel="0" showTimeLevel="0" showHorizontalScrollbar="0" level="2" selectionLevel="2" scrollPosition="2021-12-14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905A-1206-435E-A038-55D9276ACED8}">
  <sheetPr codeName="Sheet1"/>
  <dimension ref="A1"/>
  <sheetViews>
    <sheetView showGridLines="0" zoomScale="99" workbookViewId="0"/>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5B0D-213A-4B0F-96D3-9E9BA3E45579}">
  <sheetPr codeName="Sheet2"/>
  <dimension ref="A1:H367"/>
  <sheetViews>
    <sheetView tabSelected="1" zoomScale="106" zoomScaleNormal="100" workbookViewId="0">
      <selection activeCell="D12" sqref="D12"/>
    </sheetView>
  </sheetViews>
  <sheetFormatPr defaultRowHeight="18" x14ac:dyDescent="0.5"/>
  <cols>
    <col min="1" max="1" width="7.21875" bestFit="1" customWidth="1"/>
    <col min="2" max="2" width="12.6640625" customWidth="1"/>
    <col min="3" max="3" width="17.21875" customWidth="1"/>
    <col min="4" max="4" width="11.33203125" customWidth="1"/>
    <col min="5" max="5" width="14" customWidth="1"/>
    <col min="6" max="6" width="8.5546875" customWidth="1"/>
    <col min="7" max="7" width="14.21875" customWidth="1"/>
    <col min="8" max="8" width="15.109375" customWidth="1"/>
  </cols>
  <sheetData>
    <row r="1" spans="1:8" ht="21.6" x14ac:dyDescent="0.55000000000000004">
      <c r="A1" s="1" t="s">
        <v>0</v>
      </c>
      <c r="B1" s="1" t="s">
        <v>1</v>
      </c>
      <c r="C1" s="1" t="s">
        <v>2</v>
      </c>
      <c r="D1" s="1" t="s">
        <v>3</v>
      </c>
      <c r="E1" s="1" t="s">
        <v>4</v>
      </c>
      <c r="F1" s="4" t="s">
        <v>5</v>
      </c>
      <c r="G1" s="4" t="s">
        <v>6</v>
      </c>
      <c r="H1" s="4" t="s">
        <v>7</v>
      </c>
    </row>
    <row r="2" spans="1:8" x14ac:dyDescent="0.5">
      <c r="A2" s="5">
        <v>14</v>
      </c>
      <c r="B2" s="3">
        <v>44210</v>
      </c>
      <c r="C2" s="5" t="s">
        <v>8</v>
      </c>
      <c r="D2" s="5" t="s">
        <v>9</v>
      </c>
      <c r="E2" s="5" t="s">
        <v>10</v>
      </c>
      <c r="F2" s="6">
        <v>7</v>
      </c>
      <c r="G2" s="6">
        <v>2100</v>
      </c>
      <c r="H2" s="6">
        <f t="shared" ref="H2:H65" si="0">F2*G2</f>
        <v>14700</v>
      </c>
    </row>
    <row r="3" spans="1:8" x14ac:dyDescent="0.5">
      <c r="A3" s="5">
        <v>15</v>
      </c>
      <c r="B3" s="3">
        <v>44230</v>
      </c>
      <c r="C3" s="5" t="s">
        <v>8</v>
      </c>
      <c r="D3" s="5" t="s">
        <v>9</v>
      </c>
      <c r="E3" s="5" t="s">
        <v>10</v>
      </c>
      <c r="F3" s="6">
        <v>7</v>
      </c>
      <c r="G3" s="6">
        <v>2100</v>
      </c>
      <c r="H3" s="6">
        <f t="shared" si="0"/>
        <v>14700</v>
      </c>
    </row>
    <row r="4" spans="1:8" x14ac:dyDescent="0.5">
      <c r="A4" s="5">
        <v>16</v>
      </c>
      <c r="B4" s="3">
        <v>44232</v>
      </c>
      <c r="C4" s="5" t="s">
        <v>8</v>
      </c>
      <c r="D4" s="5" t="s">
        <v>9</v>
      </c>
      <c r="E4" s="5" t="s">
        <v>10</v>
      </c>
      <c r="F4" s="6">
        <v>7</v>
      </c>
      <c r="G4" s="6">
        <v>2100</v>
      </c>
      <c r="H4" s="6">
        <f t="shared" si="0"/>
        <v>14700</v>
      </c>
    </row>
    <row r="5" spans="1:8" x14ac:dyDescent="0.5">
      <c r="A5" s="5">
        <v>17</v>
      </c>
      <c r="B5" s="3">
        <v>44238</v>
      </c>
      <c r="C5" s="5" t="s">
        <v>8</v>
      </c>
      <c r="D5" s="5" t="s">
        <v>14</v>
      </c>
      <c r="E5" s="5" t="s">
        <v>10</v>
      </c>
      <c r="F5" s="6">
        <v>7</v>
      </c>
      <c r="G5" s="6">
        <v>2100</v>
      </c>
      <c r="H5" s="6">
        <f t="shared" si="0"/>
        <v>14700</v>
      </c>
    </row>
    <row r="6" spans="1:8" x14ac:dyDescent="0.5">
      <c r="A6" s="5">
        <v>18</v>
      </c>
      <c r="B6" s="3">
        <v>44249</v>
      </c>
      <c r="C6" s="5" t="s">
        <v>8</v>
      </c>
      <c r="D6" s="5" t="s">
        <v>9</v>
      </c>
      <c r="E6" s="5" t="s">
        <v>10</v>
      </c>
      <c r="F6" s="6">
        <v>7</v>
      </c>
      <c r="G6" s="6">
        <v>2100</v>
      </c>
      <c r="H6" s="6">
        <f t="shared" si="0"/>
        <v>14700</v>
      </c>
    </row>
    <row r="7" spans="1:8" x14ac:dyDescent="0.5">
      <c r="A7" s="5">
        <v>19</v>
      </c>
      <c r="B7" s="3">
        <v>44257</v>
      </c>
      <c r="C7" s="5" t="s">
        <v>8</v>
      </c>
      <c r="D7" s="5" t="s">
        <v>9</v>
      </c>
      <c r="E7" s="5" t="s">
        <v>10</v>
      </c>
      <c r="F7" s="6">
        <v>7</v>
      </c>
      <c r="G7" s="6">
        <v>2100</v>
      </c>
      <c r="H7" s="6">
        <f t="shared" si="0"/>
        <v>14700</v>
      </c>
    </row>
    <row r="8" spans="1:8" x14ac:dyDescent="0.5">
      <c r="A8" s="5">
        <v>20</v>
      </c>
      <c r="B8" s="3">
        <v>44259</v>
      </c>
      <c r="C8" s="5" t="s">
        <v>8</v>
      </c>
      <c r="D8" s="5" t="s">
        <v>9</v>
      </c>
      <c r="E8" s="5" t="s">
        <v>19</v>
      </c>
      <c r="F8" s="6">
        <v>7</v>
      </c>
      <c r="G8" s="6">
        <v>2100</v>
      </c>
      <c r="H8" s="6">
        <f t="shared" si="0"/>
        <v>14700</v>
      </c>
    </row>
    <row r="9" spans="1:8" x14ac:dyDescent="0.5">
      <c r="A9" s="5">
        <v>21</v>
      </c>
      <c r="B9" s="3">
        <v>44264</v>
      </c>
      <c r="C9" s="5" t="s">
        <v>8</v>
      </c>
      <c r="D9" s="5" t="s">
        <v>13</v>
      </c>
      <c r="E9" s="5" t="s">
        <v>19</v>
      </c>
      <c r="F9" s="6">
        <v>7</v>
      </c>
      <c r="G9" s="6">
        <v>2100</v>
      </c>
      <c r="H9" s="6">
        <f t="shared" si="0"/>
        <v>14700</v>
      </c>
    </row>
    <row r="10" spans="1:8" x14ac:dyDescent="0.5">
      <c r="A10" s="5">
        <v>22</v>
      </c>
      <c r="B10" s="3">
        <v>44271</v>
      </c>
      <c r="C10" s="5" t="s">
        <v>8</v>
      </c>
      <c r="D10" s="5" t="s">
        <v>9</v>
      </c>
      <c r="E10" s="5" t="s">
        <v>10</v>
      </c>
      <c r="F10" s="6">
        <v>6</v>
      </c>
      <c r="G10" s="6">
        <v>2100</v>
      </c>
      <c r="H10" s="6">
        <f t="shared" si="0"/>
        <v>12600</v>
      </c>
    </row>
    <row r="11" spans="1:8" x14ac:dyDescent="0.5">
      <c r="A11" s="5">
        <v>23</v>
      </c>
      <c r="B11" s="3">
        <v>44274</v>
      </c>
      <c r="C11" s="5" t="s">
        <v>8</v>
      </c>
      <c r="D11" s="5" t="s">
        <v>13</v>
      </c>
      <c r="E11" s="5" t="s">
        <v>10</v>
      </c>
      <c r="F11" s="6">
        <v>6</v>
      </c>
      <c r="G11" s="6">
        <v>2100</v>
      </c>
      <c r="H11" s="6">
        <f t="shared" si="0"/>
        <v>12600</v>
      </c>
    </row>
    <row r="12" spans="1:8" x14ac:dyDescent="0.5">
      <c r="A12" s="5">
        <v>24</v>
      </c>
      <c r="B12" s="3">
        <v>44280</v>
      </c>
      <c r="C12" s="5" t="s">
        <v>8</v>
      </c>
      <c r="D12" s="5" t="s">
        <v>9</v>
      </c>
      <c r="E12" s="5" t="s">
        <v>10</v>
      </c>
      <c r="F12" s="6">
        <v>6</v>
      </c>
      <c r="G12" s="6">
        <v>2100</v>
      </c>
      <c r="H12" s="6">
        <f t="shared" si="0"/>
        <v>12600</v>
      </c>
    </row>
    <row r="13" spans="1:8" x14ac:dyDescent="0.5">
      <c r="A13" s="5">
        <v>25</v>
      </c>
      <c r="B13" s="3">
        <v>44298</v>
      </c>
      <c r="C13" s="5" t="s">
        <v>8</v>
      </c>
      <c r="D13" s="5" t="s">
        <v>12</v>
      </c>
      <c r="E13" s="5" t="s">
        <v>10</v>
      </c>
      <c r="F13" s="6">
        <v>6</v>
      </c>
      <c r="G13" s="6">
        <v>2100</v>
      </c>
      <c r="H13" s="6">
        <f t="shared" si="0"/>
        <v>12600</v>
      </c>
    </row>
    <row r="14" spans="1:8" x14ac:dyDescent="0.5">
      <c r="A14" s="5">
        <v>26</v>
      </c>
      <c r="B14" s="3">
        <v>44300</v>
      </c>
      <c r="C14" s="5" t="s">
        <v>8</v>
      </c>
      <c r="D14" s="5" t="s">
        <v>12</v>
      </c>
      <c r="E14" s="5" t="s">
        <v>10</v>
      </c>
      <c r="F14" s="6">
        <v>6</v>
      </c>
      <c r="G14" s="6">
        <v>2100</v>
      </c>
      <c r="H14" s="6">
        <f t="shared" si="0"/>
        <v>12600</v>
      </c>
    </row>
    <row r="15" spans="1:8" x14ac:dyDescent="0.5">
      <c r="A15" s="5">
        <v>27</v>
      </c>
      <c r="B15" s="3">
        <v>44301</v>
      </c>
      <c r="C15" s="5" t="s">
        <v>8</v>
      </c>
      <c r="D15" s="5" t="s">
        <v>14</v>
      </c>
      <c r="E15" s="5" t="s">
        <v>10</v>
      </c>
      <c r="F15" s="6">
        <v>6</v>
      </c>
      <c r="G15" s="6">
        <v>2100</v>
      </c>
      <c r="H15" s="6">
        <f t="shared" si="0"/>
        <v>12600</v>
      </c>
    </row>
    <row r="16" spans="1:8" x14ac:dyDescent="0.5">
      <c r="A16" s="5">
        <v>28</v>
      </c>
      <c r="B16" s="3">
        <v>44315</v>
      </c>
      <c r="C16" s="5" t="s">
        <v>8</v>
      </c>
      <c r="D16" s="5" t="s">
        <v>13</v>
      </c>
      <c r="E16" s="5" t="s">
        <v>20</v>
      </c>
      <c r="F16" s="6">
        <v>5</v>
      </c>
      <c r="G16" s="6">
        <v>1500</v>
      </c>
      <c r="H16" s="6">
        <f t="shared" si="0"/>
        <v>7500</v>
      </c>
    </row>
    <row r="17" spans="1:8" x14ac:dyDescent="0.5">
      <c r="A17" s="5">
        <v>29</v>
      </c>
      <c r="B17" s="3">
        <v>44319</v>
      </c>
      <c r="C17" s="5" t="s">
        <v>8</v>
      </c>
      <c r="D17" s="5" t="s">
        <v>13</v>
      </c>
      <c r="E17" s="5" t="s">
        <v>20</v>
      </c>
      <c r="F17" s="6">
        <v>5</v>
      </c>
      <c r="G17" s="6">
        <v>1500</v>
      </c>
      <c r="H17" s="6">
        <f t="shared" si="0"/>
        <v>7500</v>
      </c>
    </row>
    <row r="18" spans="1:8" x14ac:dyDescent="0.5">
      <c r="A18" s="5">
        <v>30</v>
      </c>
      <c r="B18" s="3">
        <v>44322</v>
      </c>
      <c r="C18" s="5" t="s">
        <v>8</v>
      </c>
      <c r="D18" s="5" t="s">
        <v>12</v>
      </c>
      <c r="E18" s="5" t="s">
        <v>20</v>
      </c>
      <c r="F18" s="6">
        <v>5</v>
      </c>
      <c r="G18" s="6">
        <v>1500</v>
      </c>
      <c r="H18" s="6">
        <f t="shared" si="0"/>
        <v>7500</v>
      </c>
    </row>
    <row r="19" spans="1:8" x14ac:dyDescent="0.5">
      <c r="A19" s="5">
        <v>31</v>
      </c>
      <c r="B19" s="3">
        <v>44330</v>
      </c>
      <c r="C19" s="5" t="s">
        <v>8</v>
      </c>
      <c r="D19" s="5" t="s">
        <v>9</v>
      </c>
      <c r="E19" s="5" t="s">
        <v>20</v>
      </c>
      <c r="F19" s="6">
        <v>5</v>
      </c>
      <c r="G19" s="6">
        <v>1500</v>
      </c>
      <c r="H19" s="6">
        <f t="shared" si="0"/>
        <v>7500</v>
      </c>
    </row>
    <row r="20" spans="1:8" x14ac:dyDescent="0.5">
      <c r="A20" s="5">
        <v>32</v>
      </c>
      <c r="B20" s="3">
        <v>44333</v>
      </c>
      <c r="C20" s="5" t="s">
        <v>8</v>
      </c>
      <c r="D20" s="5" t="s">
        <v>13</v>
      </c>
      <c r="E20" s="5" t="s">
        <v>20</v>
      </c>
      <c r="F20" s="6">
        <v>5</v>
      </c>
      <c r="G20" s="6">
        <v>1500</v>
      </c>
      <c r="H20" s="6">
        <f t="shared" si="0"/>
        <v>7500</v>
      </c>
    </row>
    <row r="21" spans="1:8" x14ac:dyDescent="0.5">
      <c r="A21" s="5">
        <v>33</v>
      </c>
      <c r="B21" s="3">
        <v>44334</v>
      </c>
      <c r="C21" s="5" t="s">
        <v>8</v>
      </c>
      <c r="D21" s="5" t="s">
        <v>9</v>
      </c>
      <c r="E21" s="5" t="s">
        <v>20</v>
      </c>
      <c r="F21" s="6">
        <v>5</v>
      </c>
      <c r="G21" s="6">
        <v>1500</v>
      </c>
      <c r="H21" s="6">
        <f t="shared" si="0"/>
        <v>7500</v>
      </c>
    </row>
    <row r="22" spans="1:8" x14ac:dyDescent="0.5">
      <c r="A22" s="5">
        <v>34</v>
      </c>
      <c r="B22" s="3">
        <v>44341</v>
      </c>
      <c r="C22" s="5" t="s">
        <v>8</v>
      </c>
      <c r="D22" s="5" t="s">
        <v>14</v>
      </c>
      <c r="E22" s="5" t="s">
        <v>20</v>
      </c>
      <c r="F22" s="6">
        <v>6</v>
      </c>
      <c r="G22" s="6">
        <v>1200</v>
      </c>
      <c r="H22" s="6">
        <f t="shared" si="0"/>
        <v>7200</v>
      </c>
    </row>
    <row r="23" spans="1:8" x14ac:dyDescent="0.5">
      <c r="A23" s="5">
        <v>35</v>
      </c>
      <c r="B23" s="3">
        <v>44349</v>
      </c>
      <c r="C23" s="5" t="s">
        <v>8</v>
      </c>
      <c r="D23" s="5" t="s">
        <v>9</v>
      </c>
      <c r="E23" s="5" t="s">
        <v>19</v>
      </c>
      <c r="F23" s="6">
        <v>6</v>
      </c>
      <c r="G23" s="6">
        <v>1200</v>
      </c>
      <c r="H23" s="6">
        <f t="shared" si="0"/>
        <v>7200</v>
      </c>
    </row>
    <row r="24" spans="1:8" x14ac:dyDescent="0.5">
      <c r="A24" s="5">
        <v>36</v>
      </c>
      <c r="B24" s="3">
        <v>44350</v>
      </c>
      <c r="C24" s="5" t="s">
        <v>8</v>
      </c>
      <c r="D24" s="5" t="s">
        <v>12</v>
      </c>
      <c r="E24" s="5" t="s">
        <v>19</v>
      </c>
      <c r="F24" s="6">
        <v>6</v>
      </c>
      <c r="G24" s="6">
        <v>1200</v>
      </c>
      <c r="H24" s="6">
        <f t="shared" si="0"/>
        <v>7200</v>
      </c>
    </row>
    <row r="25" spans="1:8" x14ac:dyDescent="0.5">
      <c r="A25" s="5">
        <v>37</v>
      </c>
      <c r="B25" s="3">
        <v>44354</v>
      </c>
      <c r="C25" s="5" t="s">
        <v>8</v>
      </c>
      <c r="D25" s="5" t="s">
        <v>12</v>
      </c>
      <c r="E25" s="5" t="s">
        <v>19</v>
      </c>
      <c r="F25" s="6">
        <v>6</v>
      </c>
      <c r="G25" s="6">
        <v>1200</v>
      </c>
      <c r="H25" s="6">
        <f t="shared" si="0"/>
        <v>7200</v>
      </c>
    </row>
    <row r="26" spans="1:8" x14ac:dyDescent="0.5">
      <c r="A26" s="5">
        <v>38</v>
      </c>
      <c r="B26" s="3">
        <v>44357</v>
      </c>
      <c r="C26" s="5" t="s">
        <v>8</v>
      </c>
      <c r="D26" s="5" t="s">
        <v>9</v>
      </c>
      <c r="E26" s="5" t="s">
        <v>19</v>
      </c>
      <c r="F26" s="6">
        <v>6</v>
      </c>
      <c r="G26" s="6">
        <v>1200</v>
      </c>
      <c r="H26" s="6">
        <f t="shared" si="0"/>
        <v>7200</v>
      </c>
    </row>
    <row r="27" spans="1:8" x14ac:dyDescent="0.5">
      <c r="A27" s="5">
        <v>39</v>
      </c>
      <c r="B27" s="3">
        <v>44362</v>
      </c>
      <c r="C27" s="5" t="s">
        <v>8</v>
      </c>
      <c r="D27" s="5" t="s">
        <v>9</v>
      </c>
      <c r="E27" s="5" t="s">
        <v>19</v>
      </c>
      <c r="F27" s="6">
        <v>6</v>
      </c>
      <c r="G27" s="6">
        <v>1200</v>
      </c>
      <c r="H27" s="6">
        <f t="shared" si="0"/>
        <v>7200</v>
      </c>
    </row>
    <row r="28" spans="1:8" x14ac:dyDescent="0.5">
      <c r="A28" s="5">
        <v>40</v>
      </c>
      <c r="B28" s="3">
        <v>44371</v>
      </c>
      <c r="C28" s="5" t="s">
        <v>8</v>
      </c>
      <c r="D28" s="5" t="s">
        <v>9</v>
      </c>
      <c r="E28" s="5" t="s">
        <v>20</v>
      </c>
      <c r="F28" s="6">
        <v>4</v>
      </c>
      <c r="G28" s="6">
        <v>1500</v>
      </c>
      <c r="H28" s="6">
        <f t="shared" si="0"/>
        <v>6000</v>
      </c>
    </row>
    <row r="29" spans="1:8" x14ac:dyDescent="0.5">
      <c r="A29" s="5">
        <v>41</v>
      </c>
      <c r="B29" s="3">
        <v>44375</v>
      </c>
      <c r="C29" s="5" t="s">
        <v>8</v>
      </c>
      <c r="D29" s="5" t="s">
        <v>9</v>
      </c>
      <c r="E29" s="5" t="s">
        <v>20</v>
      </c>
      <c r="F29" s="6">
        <v>4</v>
      </c>
      <c r="G29" s="6">
        <v>1500</v>
      </c>
      <c r="H29" s="6">
        <f t="shared" si="0"/>
        <v>6000</v>
      </c>
    </row>
    <row r="30" spans="1:8" x14ac:dyDescent="0.5">
      <c r="A30" s="5">
        <v>42</v>
      </c>
      <c r="B30" s="3">
        <v>44390</v>
      </c>
      <c r="C30" s="5" t="s">
        <v>8</v>
      </c>
      <c r="D30" s="5" t="s">
        <v>14</v>
      </c>
      <c r="E30" s="5" t="s">
        <v>20</v>
      </c>
      <c r="F30" s="6">
        <v>4</v>
      </c>
      <c r="G30" s="6">
        <v>1500</v>
      </c>
      <c r="H30" s="6">
        <f t="shared" si="0"/>
        <v>6000</v>
      </c>
    </row>
    <row r="31" spans="1:8" x14ac:dyDescent="0.5">
      <c r="A31" s="5">
        <v>43</v>
      </c>
      <c r="B31" s="3">
        <v>44396</v>
      </c>
      <c r="C31" s="5" t="s">
        <v>8</v>
      </c>
      <c r="D31" s="5" t="s">
        <v>9</v>
      </c>
      <c r="E31" s="5" t="s">
        <v>20</v>
      </c>
      <c r="F31" s="6">
        <v>4</v>
      </c>
      <c r="G31" s="6">
        <v>1500</v>
      </c>
      <c r="H31" s="6">
        <f t="shared" si="0"/>
        <v>6000</v>
      </c>
    </row>
    <row r="32" spans="1:8" x14ac:dyDescent="0.5">
      <c r="A32" s="5">
        <v>44</v>
      </c>
      <c r="B32" s="3">
        <v>44404</v>
      </c>
      <c r="C32" s="5" t="s">
        <v>8</v>
      </c>
      <c r="D32" s="5" t="s">
        <v>14</v>
      </c>
      <c r="E32" s="5" t="s">
        <v>20</v>
      </c>
      <c r="F32" s="6">
        <v>4</v>
      </c>
      <c r="G32" s="6">
        <v>1500</v>
      </c>
      <c r="H32" s="6">
        <f t="shared" si="0"/>
        <v>6000</v>
      </c>
    </row>
    <row r="33" spans="1:8" x14ac:dyDescent="0.5">
      <c r="A33" s="5">
        <v>45</v>
      </c>
      <c r="B33" s="3">
        <v>44412</v>
      </c>
      <c r="C33" s="5" t="s">
        <v>8</v>
      </c>
      <c r="D33" s="5" t="s">
        <v>14</v>
      </c>
      <c r="E33" s="5" t="s">
        <v>19</v>
      </c>
      <c r="F33" s="6">
        <v>5</v>
      </c>
      <c r="G33" s="6">
        <v>1200</v>
      </c>
      <c r="H33" s="6">
        <f t="shared" si="0"/>
        <v>6000</v>
      </c>
    </row>
    <row r="34" spans="1:8" x14ac:dyDescent="0.5">
      <c r="A34" s="5">
        <v>46</v>
      </c>
      <c r="B34" s="3">
        <v>44420</v>
      </c>
      <c r="C34" s="5" t="s">
        <v>8</v>
      </c>
      <c r="D34" s="5" t="s">
        <v>9</v>
      </c>
      <c r="E34" s="5" t="s">
        <v>19</v>
      </c>
      <c r="F34" s="6">
        <v>5</v>
      </c>
      <c r="G34" s="6">
        <v>1200</v>
      </c>
      <c r="H34" s="6">
        <f t="shared" si="0"/>
        <v>6000</v>
      </c>
    </row>
    <row r="35" spans="1:8" x14ac:dyDescent="0.5">
      <c r="A35" s="5">
        <v>47</v>
      </c>
      <c r="B35" s="3">
        <v>44434</v>
      </c>
      <c r="C35" s="5" t="s">
        <v>8</v>
      </c>
      <c r="D35" s="5" t="s">
        <v>9</v>
      </c>
      <c r="E35" s="5" t="s">
        <v>19</v>
      </c>
      <c r="F35" s="6">
        <v>5</v>
      </c>
      <c r="G35" s="6">
        <v>1200</v>
      </c>
      <c r="H35" s="6">
        <f t="shared" si="0"/>
        <v>6000</v>
      </c>
    </row>
    <row r="36" spans="1:8" x14ac:dyDescent="0.5">
      <c r="A36" s="5">
        <v>48</v>
      </c>
      <c r="B36" s="3">
        <v>44435</v>
      </c>
      <c r="C36" s="5" t="s">
        <v>8</v>
      </c>
      <c r="D36" s="5" t="s">
        <v>13</v>
      </c>
      <c r="E36" s="5" t="s">
        <v>19</v>
      </c>
      <c r="F36" s="6">
        <v>5</v>
      </c>
      <c r="G36" s="6">
        <v>1200</v>
      </c>
      <c r="H36" s="6">
        <f t="shared" si="0"/>
        <v>6000</v>
      </c>
    </row>
    <row r="37" spans="1:8" x14ac:dyDescent="0.5">
      <c r="A37" s="5">
        <v>49</v>
      </c>
      <c r="B37" s="3">
        <v>44439</v>
      </c>
      <c r="C37" s="5" t="s">
        <v>8</v>
      </c>
      <c r="D37" s="5" t="s">
        <v>13</v>
      </c>
      <c r="E37" s="5" t="s">
        <v>19</v>
      </c>
      <c r="F37" s="6">
        <v>5</v>
      </c>
      <c r="G37" s="6">
        <v>1200</v>
      </c>
      <c r="H37" s="6">
        <f t="shared" si="0"/>
        <v>6000</v>
      </c>
    </row>
    <row r="38" spans="1:8" x14ac:dyDescent="0.5">
      <c r="A38" s="5">
        <v>50</v>
      </c>
      <c r="B38" s="3">
        <v>44452</v>
      </c>
      <c r="C38" s="5" t="s">
        <v>8</v>
      </c>
      <c r="D38" s="5" t="s">
        <v>9</v>
      </c>
      <c r="E38" s="5" t="s">
        <v>21</v>
      </c>
      <c r="F38" s="6">
        <v>5</v>
      </c>
      <c r="G38" s="6">
        <v>300</v>
      </c>
      <c r="H38" s="6">
        <f t="shared" si="0"/>
        <v>1500</v>
      </c>
    </row>
    <row r="39" spans="1:8" x14ac:dyDescent="0.5">
      <c r="A39" s="5">
        <v>51</v>
      </c>
      <c r="B39" s="3">
        <v>44459</v>
      </c>
      <c r="C39" s="5" t="s">
        <v>8</v>
      </c>
      <c r="D39" s="5" t="s">
        <v>9</v>
      </c>
      <c r="E39" s="5" t="s">
        <v>22</v>
      </c>
      <c r="F39" s="6">
        <v>7</v>
      </c>
      <c r="G39" s="6">
        <v>210</v>
      </c>
      <c r="H39" s="6">
        <f t="shared" si="0"/>
        <v>1470</v>
      </c>
    </row>
    <row r="40" spans="1:8" x14ac:dyDescent="0.5">
      <c r="A40" s="5">
        <v>52</v>
      </c>
      <c r="B40" s="3">
        <v>44460</v>
      </c>
      <c r="C40" s="5" t="s">
        <v>8</v>
      </c>
      <c r="D40" s="5" t="s">
        <v>9</v>
      </c>
      <c r="E40" s="5" t="s">
        <v>22</v>
      </c>
      <c r="F40" s="6">
        <v>7</v>
      </c>
      <c r="G40" s="6">
        <v>210</v>
      </c>
      <c r="H40" s="6">
        <f t="shared" si="0"/>
        <v>1470</v>
      </c>
    </row>
    <row r="41" spans="1:8" x14ac:dyDescent="0.5">
      <c r="A41" s="5">
        <v>53</v>
      </c>
      <c r="B41" s="3">
        <v>44462</v>
      </c>
      <c r="C41" s="5" t="s">
        <v>8</v>
      </c>
      <c r="D41" s="5" t="s">
        <v>12</v>
      </c>
      <c r="E41" s="5" t="s">
        <v>22</v>
      </c>
      <c r="F41" s="6">
        <v>7</v>
      </c>
      <c r="G41" s="6">
        <v>210</v>
      </c>
      <c r="H41" s="6">
        <f t="shared" si="0"/>
        <v>1470</v>
      </c>
    </row>
    <row r="42" spans="1:8" x14ac:dyDescent="0.5">
      <c r="A42" s="5">
        <v>54</v>
      </c>
      <c r="B42" s="3">
        <v>44463</v>
      </c>
      <c r="C42" s="5" t="s">
        <v>8</v>
      </c>
      <c r="D42" s="5" t="s">
        <v>13</v>
      </c>
      <c r="E42" s="5" t="s">
        <v>22</v>
      </c>
      <c r="F42" s="6">
        <v>7</v>
      </c>
      <c r="G42" s="6">
        <v>210</v>
      </c>
      <c r="H42" s="6">
        <f t="shared" si="0"/>
        <v>1470</v>
      </c>
    </row>
    <row r="43" spans="1:8" x14ac:dyDescent="0.5">
      <c r="A43" s="5">
        <v>55</v>
      </c>
      <c r="B43" s="3">
        <v>44466</v>
      </c>
      <c r="C43" s="5" t="s">
        <v>8</v>
      </c>
      <c r="D43" s="5" t="s">
        <v>14</v>
      </c>
      <c r="E43" s="5" t="s">
        <v>22</v>
      </c>
      <c r="F43" s="6">
        <v>7</v>
      </c>
      <c r="G43" s="6">
        <v>210</v>
      </c>
      <c r="H43" s="6">
        <f t="shared" si="0"/>
        <v>1470</v>
      </c>
    </row>
    <row r="44" spans="1:8" x14ac:dyDescent="0.5">
      <c r="A44" s="5">
        <v>56</v>
      </c>
      <c r="B44" s="3">
        <v>44467</v>
      </c>
      <c r="C44" s="5" t="s">
        <v>8</v>
      </c>
      <c r="D44" s="5" t="s">
        <v>9</v>
      </c>
      <c r="E44" s="5" t="s">
        <v>22</v>
      </c>
      <c r="F44" s="6">
        <v>7</v>
      </c>
      <c r="G44" s="6">
        <v>210</v>
      </c>
      <c r="H44" s="6">
        <f t="shared" si="0"/>
        <v>1470</v>
      </c>
    </row>
    <row r="45" spans="1:8" x14ac:dyDescent="0.5">
      <c r="A45" s="5">
        <v>57</v>
      </c>
      <c r="B45" s="3">
        <v>44468</v>
      </c>
      <c r="C45" s="5" t="s">
        <v>8</v>
      </c>
      <c r="D45" s="5" t="s">
        <v>12</v>
      </c>
      <c r="E45" s="5" t="s">
        <v>22</v>
      </c>
      <c r="F45" s="6">
        <v>7</v>
      </c>
      <c r="G45" s="6">
        <v>210</v>
      </c>
      <c r="H45" s="6">
        <f t="shared" si="0"/>
        <v>1470</v>
      </c>
    </row>
    <row r="46" spans="1:8" x14ac:dyDescent="0.5">
      <c r="A46" s="5">
        <v>58</v>
      </c>
      <c r="B46" s="3">
        <v>44469</v>
      </c>
      <c r="C46" s="5" t="s">
        <v>8</v>
      </c>
      <c r="D46" s="5" t="s">
        <v>13</v>
      </c>
      <c r="E46" s="5" t="s">
        <v>22</v>
      </c>
      <c r="F46" s="6">
        <v>7</v>
      </c>
      <c r="G46" s="6">
        <v>210</v>
      </c>
      <c r="H46" s="6">
        <f t="shared" si="0"/>
        <v>1470</v>
      </c>
    </row>
    <row r="47" spans="1:8" x14ac:dyDescent="0.5">
      <c r="A47" s="5">
        <v>59</v>
      </c>
      <c r="B47" s="3">
        <v>44470</v>
      </c>
      <c r="C47" s="5" t="s">
        <v>8</v>
      </c>
      <c r="D47" s="5" t="s">
        <v>14</v>
      </c>
      <c r="E47" s="5" t="s">
        <v>22</v>
      </c>
      <c r="F47" s="6">
        <v>7</v>
      </c>
      <c r="G47" s="6">
        <v>210</v>
      </c>
      <c r="H47" s="6">
        <f t="shared" si="0"/>
        <v>1470</v>
      </c>
    </row>
    <row r="48" spans="1:8" x14ac:dyDescent="0.5">
      <c r="A48" s="5">
        <v>60</v>
      </c>
      <c r="B48" s="3">
        <v>44477</v>
      </c>
      <c r="C48" s="5" t="s">
        <v>8</v>
      </c>
      <c r="D48" s="5" t="s">
        <v>12</v>
      </c>
      <c r="E48" s="5" t="s">
        <v>22</v>
      </c>
      <c r="F48" s="6">
        <v>7</v>
      </c>
      <c r="G48" s="6">
        <v>210</v>
      </c>
      <c r="H48" s="6">
        <f t="shared" si="0"/>
        <v>1470</v>
      </c>
    </row>
    <row r="49" spans="1:8" x14ac:dyDescent="0.5">
      <c r="A49" s="5">
        <v>61</v>
      </c>
      <c r="B49" s="3">
        <v>44484</v>
      </c>
      <c r="C49" s="5" t="s">
        <v>8</v>
      </c>
      <c r="D49" s="5" t="s">
        <v>9</v>
      </c>
      <c r="E49" s="5" t="s">
        <v>22</v>
      </c>
      <c r="F49" s="6">
        <v>7</v>
      </c>
      <c r="G49" s="6">
        <v>210</v>
      </c>
      <c r="H49" s="6">
        <f t="shared" si="0"/>
        <v>1470</v>
      </c>
    </row>
    <row r="50" spans="1:8" x14ac:dyDescent="0.5">
      <c r="A50" s="5">
        <v>62</v>
      </c>
      <c r="B50" s="3">
        <v>44496</v>
      </c>
      <c r="C50" s="5" t="s">
        <v>8</v>
      </c>
      <c r="D50" s="5" t="s">
        <v>9</v>
      </c>
      <c r="E50" s="5" t="s">
        <v>22</v>
      </c>
      <c r="F50" s="6">
        <v>7</v>
      </c>
      <c r="G50" s="6">
        <v>210</v>
      </c>
      <c r="H50" s="6">
        <f t="shared" si="0"/>
        <v>1470</v>
      </c>
    </row>
    <row r="51" spans="1:8" x14ac:dyDescent="0.5">
      <c r="A51" s="5">
        <v>63</v>
      </c>
      <c r="B51" s="3">
        <v>44497</v>
      </c>
      <c r="C51" s="5" t="s">
        <v>8</v>
      </c>
      <c r="D51" s="5" t="s">
        <v>13</v>
      </c>
      <c r="E51" s="5" t="s">
        <v>22</v>
      </c>
      <c r="F51" s="6">
        <v>7</v>
      </c>
      <c r="G51" s="6">
        <v>210</v>
      </c>
      <c r="H51" s="6">
        <f t="shared" si="0"/>
        <v>1470</v>
      </c>
    </row>
    <row r="52" spans="1:8" x14ac:dyDescent="0.5">
      <c r="A52" s="5">
        <v>64</v>
      </c>
      <c r="B52" s="3">
        <v>44503</v>
      </c>
      <c r="C52" s="5" t="s">
        <v>8</v>
      </c>
      <c r="D52" s="5" t="s">
        <v>14</v>
      </c>
      <c r="E52" s="5" t="s">
        <v>21</v>
      </c>
      <c r="F52" s="6">
        <v>4</v>
      </c>
      <c r="G52" s="6">
        <v>300</v>
      </c>
      <c r="H52" s="6">
        <f t="shared" si="0"/>
        <v>1200</v>
      </c>
    </row>
    <row r="53" spans="1:8" x14ac:dyDescent="0.5">
      <c r="A53" s="5">
        <v>65</v>
      </c>
      <c r="B53" s="3">
        <v>44517</v>
      </c>
      <c r="C53" s="5" t="s">
        <v>8</v>
      </c>
      <c r="D53" s="5" t="s">
        <v>14</v>
      </c>
      <c r="E53" s="5" t="s">
        <v>21</v>
      </c>
      <c r="F53" s="6">
        <v>4</v>
      </c>
      <c r="G53" s="6">
        <v>300</v>
      </c>
      <c r="H53" s="6">
        <f t="shared" si="0"/>
        <v>1200</v>
      </c>
    </row>
    <row r="54" spans="1:8" x14ac:dyDescent="0.5">
      <c r="A54" s="5">
        <v>66</v>
      </c>
      <c r="B54" s="3">
        <v>44518</v>
      </c>
      <c r="C54" s="5" t="s">
        <v>8</v>
      </c>
      <c r="D54" s="5" t="s">
        <v>9</v>
      </c>
      <c r="E54" s="5" t="s">
        <v>21</v>
      </c>
      <c r="F54" s="6">
        <v>4</v>
      </c>
      <c r="G54" s="6">
        <v>300</v>
      </c>
      <c r="H54" s="6">
        <f t="shared" si="0"/>
        <v>1200</v>
      </c>
    </row>
    <row r="55" spans="1:8" x14ac:dyDescent="0.5">
      <c r="A55" s="5">
        <v>67</v>
      </c>
      <c r="B55" s="3">
        <v>44522</v>
      </c>
      <c r="C55" s="5" t="s">
        <v>8</v>
      </c>
      <c r="D55" s="5" t="s">
        <v>13</v>
      </c>
      <c r="E55" s="5" t="s">
        <v>21</v>
      </c>
      <c r="F55" s="6">
        <v>4</v>
      </c>
      <c r="G55" s="6">
        <v>300</v>
      </c>
      <c r="H55" s="6">
        <f t="shared" si="0"/>
        <v>1200</v>
      </c>
    </row>
    <row r="56" spans="1:8" x14ac:dyDescent="0.5">
      <c r="A56" s="5">
        <v>68</v>
      </c>
      <c r="B56" s="3">
        <v>44529</v>
      </c>
      <c r="C56" s="5" t="s">
        <v>8</v>
      </c>
      <c r="D56" s="5" t="s">
        <v>12</v>
      </c>
      <c r="E56" s="5" t="s">
        <v>21</v>
      </c>
      <c r="F56" s="6">
        <v>4</v>
      </c>
      <c r="G56" s="6">
        <v>300</v>
      </c>
      <c r="H56" s="6">
        <f t="shared" si="0"/>
        <v>1200</v>
      </c>
    </row>
    <row r="57" spans="1:8" x14ac:dyDescent="0.5">
      <c r="A57" s="5">
        <v>69</v>
      </c>
      <c r="B57" s="3">
        <v>44530</v>
      </c>
      <c r="C57" s="5" t="s">
        <v>8</v>
      </c>
      <c r="D57" s="5" t="s">
        <v>14</v>
      </c>
      <c r="E57" s="5" t="s">
        <v>21</v>
      </c>
      <c r="F57" s="6">
        <v>4</v>
      </c>
      <c r="G57" s="6">
        <v>300</v>
      </c>
      <c r="H57" s="6">
        <f t="shared" si="0"/>
        <v>1200</v>
      </c>
    </row>
    <row r="58" spans="1:8" x14ac:dyDescent="0.5">
      <c r="A58" s="5">
        <v>70</v>
      </c>
      <c r="B58" s="3">
        <v>44533</v>
      </c>
      <c r="C58" s="5" t="s">
        <v>8</v>
      </c>
      <c r="D58" s="5" t="s">
        <v>9</v>
      </c>
      <c r="E58" s="5" t="s">
        <v>21</v>
      </c>
      <c r="F58" s="6">
        <v>3</v>
      </c>
      <c r="G58" s="6">
        <v>300</v>
      </c>
      <c r="H58" s="6">
        <f t="shared" si="0"/>
        <v>900</v>
      </c>
    </row>
    <row r="59" spans="1:8" x14ac:dyDescent="0.5">
      <c r="A59" s="5">
        <v>71</v>
      </c>
      <c r="B59" s="3">
        <v>44536</v>
      </c>
      <c r="C59" s="5" t="s">
        <v>8</v>
      </c>
      <c r="D59" s="5" t="s">
        <v>9</v>
      </c>
      <c r="E59" s="5" t="s">
        <v>21</v>
      </c>
      <c r="F59" s="6">
        <v>3</v>
      </c>
      <c r="G59" s="6">
        <v>300</v>
      </c>
      <c r="H59" s="6">
        <f t="shared" si="0"/>
        <v>900</v>
      </c>
    </row>
    <row r="60" spans="1:8" x14ac:dyDescent="0.5">
      <c r="A60" s="5">
        <v>72</v>
      </c>
      <c r="B60" s="3">
        <v>44538</v>
      </c>
      <c r="C60" s="5" t="s">
        <v>8</v>
      </c>
      <c r="D60" s="5" t="s">
        <v>12</v>
      </c>
      <c r="E60" s="5" t="s">
        <v>21</v>
      </c>
      <c r="F60" s="6">
        <v>3</v>
      </c>
      <c r="G60" s="6">
        <v>300</v>
      </c>
      <c r="H60" s="6">
        <f t="shared" si="0"/>
        <v>900</v>
      </c>
    </row>
    <row r="61" spans="1:8" x14ac:dyDescent="0.5">
      <c r="A61" s="5">
        <v>73</v>
      </c>
      <c r="B61" s="3">
        <v>44554</v>
      </c>
      <c r="C61" s="5" t="s">
        <v>8</v>
      </c>
      <c r="D61" s="5" t="s">
        <v>12</v>
      </c>
      <c r="E61" s="5" t="s">
        <v>21</v>
      </c>
      <c r="F61" s="6">
        <v>3</v>
      </c>
      <c r="G61" s="6">
        <v>300</v>
      </c>
      <c r="H61" s="6">
        <f t="shared" si="0"/>
        <v>900</v>
      </c>
    </row>
    <row r="62" spans="1:8" x14ac:dyDescent="0.5">
      <c r="A62" s="5">
        <v>74</v>
      </c>
      <c r="B62" s="3">
        <v>44564</v>
      </c>
      <c r="C62" s="5" t="s">
        <v>8</v>
      </c>
      <c r="D62" s="5" t="s">
        <v>9</v>
      </c>
      <c r="E62" s="5" t="s">
        <v>21</v>
      </c>
      <c r="F62" s="6">
        <v>3</v>
      </c>
      <c r="G62" s="6">
        <v>300</v>
      </c>
      <c r="H62" s="6">
        <f t="shared" si="0"/>
        <v>900</v>
      </c>
    </row>
    <row r="63" spans="1:8" x14ac:dyDescent="0.5">
      <c r="A63" s="5">
        <v>75</v>
      </c>
      <c r="B63" s="3">
        <v>44565</v>
      </c>
      <c r="C63" s="5" t="s">
        <v>8</v>
      </c>
      <c r="D63" s="5" t="s">
        <v>9</v>
      </c>
      <c r="E63" s="5" t="s">
        <v>21</v>
      </c>
      <c r="F63" s="6">
        <v>3</v>
      </c>
      <c r="G63" s="6">
        <v>300</v>
      </c>
      <c r="H63" s="6">
        <f t="shared" si="0"/>
        <v>900</v>
      </c>
    </row>
    <row r="64" spans="1:8" x14ac:dyDescent="0.5">
      <c r="A64" s="5">
        <v>76</v>
      </c>
      <c r="B64" s="3">
        <v>44566</v>
      </c>
      <c r="C64" s="5" t="s">
        <v>8</v>
      </c>
      <c r="D64" s="5" t="s">
        <v>9</v>
      </c>
      <c r="E64" s="5" t="s">
        <v>21</v>
      </c>
      <c r="F64" s="6">
        <v>3</v>
      </c>
      <c r="G64" s="6">
        <v>300</v>
      </c>
      <c r="H64" s="6">
        <f t="shared" si="0"/>
        <v>900</v>
      </c>
    </row>
    <row r="65" spans="1:8" x14ac:dyDescent="0.5">
      <c r="A65" s="5">
        <v>77</v>
      </c>
      <c r="B65" s="3">
        <v>44567</v>
      </c>
      <c r="C65" s="5" t="s">
        <v>8</v>
      </c>
      <c r="D65" s="5" t="s">
        <v>14</v>
      </c>
      <c r="E65" s="5" t="s">
        <v>21</v>
      </c>
      <c r="F65" s="6">
        <v>3</v>
      </c>
      <c r="G65" s="6">
        <v>300</v>
      </c>
      <c r="H65" s="6">
        <f t="shared" si="0"/>
        <v>900</v>
      </c>
    </row>
    <row r="66" spans="1:8" x14ac:dyDescent="0.5">
      <c r="A66" s="5">
        <v>78</v>
      </c>
      <c r="B66" s="3">
        <v>44574</v>
      </c>
      <c r="C66" s="5" t="s">
        <v>8</v>
      </c>
      <c r="D66" s="5" t="s">
        <v>9</v>
      </c>
      <c r="E66" s="5" t="s">
        <v>21</v>
      </c>
      <c r="F66" s="6">
        <v>3</v>
      </c>
      <c r="G66" s="6">
        <v>300</v>
      </c>
      <c r="H66" s="6">
        <f t="shared" ref="H66:H129" si="1">F66*G66</f>
        <v>900</v>
      </c>
    </row>
    <row r="67" spans="1:8" x14ac:dyDescent="0.5">
      <c r="A67" s="5">
        <v>79</v>
      </c>
      <c r="B67" s="3">
        <v>44581</v>
      </c>
      <c r="C67" s="5" t="s">
        <v>8</v>
      </c>
      <c r="D67" s="5" t="s">
        <v>9</v>
      </c>
      <c r="E67" s="5" t="s">
        <v>23</v>
      </c>
      <c r="F67" s="6">
        <v>4</v>
      </c>
      <c r="G67" s="6">
        <v>200</v>
      </c>
      <c r="H67" s="6">
        <f t="shared" si="1"/>
        <v>800</v>
      </c>
    </row>
    <row r="68" spans="1:8" x14ac:dyDescent="0.5">
      <c r="A68" s="5">
        <v>80</v>
      </c>
      <c r="B68" s="3">
        <v>44596</v>
      </c>
      <c r="C68" s="5" t="s">
        <v>8</v>
      </c>
      <c r="D68" s="5" t="s">
        <v>9</v>
      </c>
      <c r="E68" s="5" t="s">
        <v>22</v>
      </c>
      <c r="F68" s="6">
        <v>3</v>
      </c>
      <c r="G68" s="6">
        <v>190</v>
      </c>
      <c r="H68" s="6">
        <f t="shared" si="1"/>
        <v>570</v>
      </c>
    </row>
    <row r="69" spans="1:8" x14ac:dyDescent="0.5">
      <c r="A69" s="5">
        <v>81</v>
      </c>
      <c r="B69" s="3">
        <v>44606</v>
      </c>
      <c r="C69" s="5" t="s">
        <v>8</v>
      </c>
      <c r="D69" s="5" t="s">
        <v>9</v>
      </c>
      <c r="E69" s="5" t="s">
        <v>23</v>
      </c>
      <c r="F69" s="6">
        <v>3</v>
      </c>
      <c r="G69" s="6">
        <v>190</v>
      </c>
      <c r="H69" s="6">
        <f t="shared" si="1"/>
        <v>570</v>
      </c>
    </row>
    <row r="70" spans="1:8" x14ac:dyDescent="0.5">
      <c r="A70" s="5">
        <v>82</v>
      </c>
      <c r="B70" s="3">
        <v>44609</v>
      </c>
      <c r="C70" s="5" t="s">
        <v>8</v>
      </c>
      <c r="D70" s="5" t="s">
        <v>9</v>
      </c>
      <c r="E70" s="5" t="s">
        <v>23</v>
      </c>
      <c r="F70" s="6">
        <v>3</v>
      </c>
      <c r="G70" s="6">
        <v>190</v>
      </c>
      <c r="H70" s="6">
        <f t="shared" si="1"/>
        <v>570</v>
      </c>
    </row>
    <row r="71" spans="1:8" x14ac:dyDescent="0.5">
      <c r="A71" s="5">
        <v>83</v>
      </c>
      <c r="B71" s="3">
        <v>44616</v>
      </c>
      <c r="C71" s="5" t="s">
        <v>8</v>
      </c>
      <c r="D71" s="5" t="s">
        <v>9</v>
      </c>
      <c r="E71" s="5" t="s">
        <v>23</v>
      </c>
      <c r="F71" s="6">
        <v>3</v>
      </c>
      <c r="G71" s="6">
        <v>190</v>
      </c>
      <c r="H71" s="6">
        <f t="shared" si="1"/>
        <v>570</v>
      </c>
    </row>
    <row r="72" spans="1:8" x14ac:dyDescent="0.5">
      <c r="A72" s="5">
        <v>84</v>
      </c>
      <c r="B72" s="3">
        <v>44634</v>
      </c>
      <c r="C72" s="5" t="s">
        <v>8</v>
      </c>
      <c r="D72" s="5" t="s">
        <v>14</v>
      </c>
      <c r="E72" s="5" t="s">
        <v>22</v>
      </c>
      <c r="F72" s="6">
        <v>2</v>
      </c>
      <c r="G72" s="6">
        <v>210</v>
      </c>
      <c r="H72" s="6">
        <f t="shared" si="1"/>
        <v>420</v>
      </c>
    </row>
    <row r="73" spans="1:8" x14ac:dyDescent="0.5">
      <c r="A73" s="5">
        <v>85</v>
      </c>
      <c r="B73" s="3">
        <v>44637</v>
      </c>
      <c r="C73" s="5" t="s">
        <v>8</v>
      </c>
      <c r="D73" s="5" t="s">
        <v>14</v>
      </c>
      <c r="E73" s="5" t="s">
        <v>22</v>
      </c>
      <c r="F73" s="6">
        <v>2</v>
      </c>
      <c r="G73" s="6">
        <v>210</v>
      </c>
      <c r="H73" s="6">
        <f t="shared" si="1"/>
        <v>420</v>
      </c>
    </row>
    <row r="74" spans="1:8" x14ac:dyDescent="0.5">
      <c r="A74" s="5">
        <v>86</v>
      </c>
      <c r="B74" s="3">
        <v>44638</v>
      </c>
      <c r="C74" s="5" t="s">
        <v>8</v>
      </c>
      <c r="D74" s="5" t="s">
        <v>9</v>
      </c>
      <c r="E74" s="5" t="s">
        <v>22</v>
      </c>
      <c r="F74" s="6">
        <v>2</v>
      </c>
      <c r="G74" s="6">
        <v>210</v>
      </c>
      <c r="H74" s="6">
        <f t="shared" si="1"/>
        <v>420</v>
      </c>
    </row>
    <row r="75" spans="1:8" x14ac:dyDescent="0.5">
      <c r="A75" s="5">
        <v>87</v>
      </c>
      <c r="B75" s="3">
        <v>44641</v>
      </c>
      <c r="C75" s="5" t="s">
        <v>8</v>
      </c>
      <c r="D75" s="5" t="s">
        <v>9</v>
      </c>
      <c r="E75" s="5" t="s">
        <v>22</v>
      </c>
      <c r="F75" s="6">
        <v>2</v>
      </c>
      <c r="G75" s="6">
        <v>210</v>
      </c>
      <c r="H75" s="6">
        <f t="shared" si="1"/>
        <v>420</v>
      </c>
    </row>
    <row r="76" spans="1:8" x14ac:dyDescent="0.5">
      <c r="A76" s="5">
        <v>88</v>
      </c>
      <c r="B76" s="3">
        <v>44643</v>
      </c>
      <c r="C76" s="5" t="s">
        <v>8</v>
      </c>
      <c r="D76" s="5" t="s">
        <v>12</v>
      </c>
      <c r="E76" s="5" t="s">
        <v>22</v>
      </c>
      <c r="F76" s="6">
        <v>2</v>
      </c>
      <c r="G76" s="6">
        <v>210</v>
      </c>
      <c r="H76" s="6">
        <f t="shared" si="1"/>
        <v>420</v>
      </c>
    </row>
    <row r="77" spans="1:8" x14ac:dyDescent="0.5">
      <c r="A77" s="5">
        <v>89</v>
      </c>
      <c r="B77" s="3">
        <v>44649</v>
      </c>
      <c r="C77" s="5" t="s">
        <v>8</v>
      </c>
      <c r="D77" s="5" t="s">
        <v>13</v>
      </c>
      <c r="E77" s="5" t="s">
        <v>22</v>
      </c>
      <c r="F77" s="6">
        <v>2</v>
      </c>
      <c r="G77" s="6">
        <v>210</v>
      </c>
      <c r="H77" s="6">
        <f t="shared" si="1"/>
        <v>420</v>
      </c>
    </row>
    <row r="78" spans="1:8" x14ac:dyDescent="0.5">
      <c r="A78" s="5">
        <v>90</v>
      </c>
      <c r="B78" s="3">
        <v>44663</v>
      </c>
      <c r="C78" s="5" t="s">
        <v>8</v>
      </c>
      <c r="D78" s="5" t="s">
        <v>9</v>
      </c>
      <c r="E78" s="5" t="s">
        <v>22</v>
      </c>
      <c r="F78" s="6">
        <v>2</v>
      </c>
      <c r="G78" s="6">
        <v>210</v>
      </c>
      <c r="H78" s="6">
        <f t="shared" si="1"/>
        <v>420</v>
      </c>
    </row>
    <row r="79" spans="1:8" x14ac:dyDescent="0.5">
      <c r="A79" s="5">
        <v>91</v>
      </c>
      <c r="B79" s="3">
        <v>44671</v>
      </c>
      <c r="C79" s="5" t="s">
        <v>8</v>
      </c>
      <c r="D79" s="5" t="s">
        <v>9</v>
      </c>
      <c r="E79" s="5" t="s">
        <v>22</v>
      </c>
      <c r="F79" s="6">
        <v>2</v>
      </c>
      <c r="G79" s="6">
        <v>210</v>
      </c>
      <c r="H79" s="6">
        <f t="shared" si="1"/>
        <v>420</v>
      </c>
    </row>
    <row r="80" spans="1:8" x14ac:dyDescent="0.5">
      <c r="A80" s="5">
        <v>92</v>
      </c>
      <c r="B80" s="3">
        <v>44679</v>
      </c>
      <c r="C80" s="5" t="s">
        <v>8</v>
      </c>
      <c r="D80" s="5" t="s">
        <v>9</v>
      </c>
      <c r="E80" s="5" t="s">
        <v>23</v>
      </c>
      <c r="F80" s="6">
        <v>2</v>
      </c>
      <c r="G80" s="6">
        <v>190</v>
      </c>
      <c r="H80" s="6">
        <f t="shared" si="1"/>
        <v>380</v>
      </c>
    </row>
    <row r="81" spans="1:8" x14ac:dyDescent="0.5">
      <c r="A81" s="5">
        <v>93</v>
      </c>
      <c r="B81" s="3">
        <v>44680</v>
      </c>
      <c r="C81" s="5" t="s">
        <v>8</v>
      </c>
      <c r="D81" s="5" t="s">
        <v>13</v>
      </c>
      <c r="E81" s="5" t="s">
        <v>23</v>
      </c>
      <c r="F81" s="6">
        <v>2</v>
      </c>
      <c r="G81" s="6">
        <v>190</v>
      </c>
      <c r="H81" s="6">
        <f t="shared" si="1"/>
        <v>380</v>
      </c>
    </row>
    <row r="82" spans="1:8" x14ac:dyDescent="0.5">
      <c r="A82" s="5">
        <v>94</v>
      </c>
      <c r="B82" s="3">
        <v>44685</v>
      </c>
      <c r="C82" s="5" t="s">
        <v>8</v>
      </c>
      <c r="D82" s="5" t="s">
        <v>13</v>
      </c>
      <c r="E82" s="5" t="s">
        <v>23</v>
      </c>
      <c r="F82" s="6">
        <v>2</v>
      </c>
      <c r="G82" s="6">
        <v>190</v>
      </c>
      <c r="H82" s="6">
        <f t="shared" si="1"/>
        <v>380</v>
      </c>
    </row>
    <row r="83" spans="1:8" x14ac:dyDescent="0.5">
      <c r="A83" s="5">
        <v>95</v>
      </c>
      <c r="B83" s="3">
        <v>44697</v>
      </c>
      <c r="C83" s="5" t="s">
        <v>8</v>
      </c>
      <c r="D83" s="5" t="s">
        <v>12</v>
      </c>
      <c r="E83" s="5" t="s">
        <v>23</v>
      </c>
      <c r="F83" s="6">
        <v>2</v>
      </c>
      <c r="G83" s="6">
        <v>190</v>
      </c>
      <c r="H83" s="6">
        <f t="shared" si="1"/>
        <v>380</v>
      </c>
    </row>
    <row r="84" spans="1:8" x14ac:dyDescent="0.5">
      <c r="A84" s="5">
        <v>96</v>
      </c>
      <c r="B84" s="3">
        <v>44720</v>
      </c>
      <c r="C84" s="5" t="s">
        <v>8</v>
      </c>
      <c r="D84" s="5" t="s">
        <v>9</v>
      </c>
      <c r="E84" s="5" t="s">
        <v>23</v>
      </c>
      <c r="F84" s="6">
        <v>2</v>
      </c>
      <c r="G84" s="6">
        <v>190</v>
      </c>
      <c r="H84" s="6">
        <f t="shared" si="1"/>
        <v>380</v>
      </c>
    </row>
    <row r="85" spans="1:8" x14ac:dyDescent="0.5">
      <c r="A85" s="5">
        <v>97</v>
      </c>
      <c r="B85" s="3">
        <v>44721</v>
      </c>
      <c r="C85" s="5" t="s">
        <v>8</v>
      </c>
      <c r="D85" s="5" t="s">
        <v>12</v>
      </c>
      <c r="E85" s="5" t="s">
        <v>23</v>
      </c>
      <c r="F85" s="6">
        <v>2</v>
      </c>
      <c r="G85" s="6">
        <v>190</v>
      </c>
      <c r="H85" s="6">
        <f t="shared" si="1"/>
        <v>380</v>
      </c>
    </row>
    <row r="86" spans="1:8" x14ac:dyDescent="0.5">
      <c r="A86" s="5">
        <v>98</v>
      </c>
      <c r="B86" s="3">
        <v>44217</v>
      </c>
      <c r="C86" s="5" t="s">
        <v>16</v>
      </c>
      <c r="D86" s="5" t="s">
        <v>14</v>
      </c>
      <c r="E86" s="5" t="s">
        <v>10</v>
      </c>
      <c r="F86" s="6">
        <v>7</v>
      </c>
      <c r="G86" s="6">
        <v>2100</v>
      </c>
      <c r="H86" s="6">
        <f t="shared" si="1"/>
        <v>14700</v>
      </c>
    </row>
    <row r="87" spans="1:8" x14ac:dyDescent="0.5">
      <c r="A87" s="5">
        <v>99</v>
      </c>
      <c r="B87" s="3">
        <v>44228</v>
      </c>
      <c r="C87" s="5" t="s">
        <v>16</v>
      </c>
      <c r="D87" s="5" t="s">
        <v>9</v>
      </c>
      <c r="E87" s="5" t="s">
        <v>10</v>
      </c>
      <c r="F87" s="6">
        <v>7</v>
      </c>
      <c r="G87" s="6">
        <v>2100</v>
      </c>
      <c r="H87" s="6">
        <f t="shared" si="1"/>
        <v>14700</v>
      </c>
    </row>
    <row r="88" spans="1:8" x14ac:dyDescent="0.5">
      <c r="A88" s="5">
        <v>100</v>
      </c>
      <c r="B88" s="3">
        <v>44237</v>
      </c>
      <c r="C88" s="5" t="s">
        <v>16</v>
      </c>
      <c r="D88" s="5" t="s">
        <v>12</v>
      </c>
      <c r="E88" s="5" t="s">
        <v>10</v>
      </c>
      <c r="F88" s="6">
        <v>7</v>
      </c>
      <c r="G88" s="6">
        <v>2100</v>
      </c>
      <c r="H88" s="6">
        <f t="shared" si="1"/>
        <v>14700</v>
      </c>
    </row>
    <row r="89" spans="1:8" x14ac:dyDescent="0.5">
      <c r="A89" s="5">
        <v>101</v>
      </c>
      <c r="B89" s="3">
        <v>44252</v>
      </c>
      <c r="C89" s="5" t="s">
        <v>16</v>
      </c>
      <c r="D89" s="5" t="s">
        <v>12</v>
      </c>
      <c r="E89" s="5" t="s">
        <v>10</v>
      </c>
      <c r="F89" s="6">
        <v>7</v>
      </c>
      <c r="G89" s="6">
        <v>2100</v>
      </c>
      <c r="H89" s="6">
        <f t="shared" si="1"/>
        <v>14700</v>
      </c>
    </row>
    <row r="90" spans="1:8" x14ac:dyDescent="0.5">
      <c r="A90" s="5">
        <v>102</v>
      </c>
      <c r="B90" s="3">
        <v>44265</v>
      </c>
      <c r="C90" s="5" t="s">
        <v>16</v>
      </c>
      <c r="D90" s="5" t="s">
        <v>12</v>
      </c>
      <c r="E90" s="5" t="s">
        <v>19</v>
      </c>
      <c r="F90" s="6">
        <v>7</v>
      </c>
      <c r="G90" s="6">
        <v>2100</v>
      </c>
      <c r="H90" s="6">
        <f t="shared" si="1"/>
        <v>14700</v>
      </c>
    </row>
    <row r="91" spans="1:8" x14ac:dyDescent="0.5">
      <c r="A91" s="5">
        <v>103</v>
      </c>
      <c r="B91" s="3">
        <v>44273</v>
      </c>
      <c r="C91" s="5" t="s">
        <v>16</v>
      </c>
      <c r="D91" s="5" t="s">
        <v>12</v>
      </c>
      <c r="E91" s="5" t="s">
        <v>10</v>
      </c>
      <c r="F91" s="6">
        <v>6</v>
      </c>
      <c r="G91" s="6">
        <v>2100</v>
      </c>
      <c r="H91" s="6">
        <f t="shared" si="1"/>
        <v>12600</v>
      </c>
    </row>
    <row r="92" spans="1:8" x14ac:dyDescent="0.5">
      <c r="A92" s="5">
        <v>104</v>
      </c>
      <c r="B92" s="3">
        <v>44286</v>
      </c>
      <c r="C92" s="5" t="s">
        <v>16</v>
      </c>
      <c r="D92" s="5" t="s">
        <v>14</v>
      </c>
      <c r="E92" s="5" t="s">
        <v>10</v>
      </c>
      <c r="F92" s="6">
        <v>6</v>
      </c>
      <c r="G92" s="6">
        <v>2100</v>
      </c>
      <c r="H92" s="6">
        <f t="shared" si="1"/>
        <v>12600</v>
      </c>
    </row>
    <row r="93" spans="1:8" x14ac:dyDescent="0.5">
      <c r="A93" s="5">
        <v>105</v>
      </c>
      <c r="B93" s="3">
        <v>44293</v>
      </c>
      <c r="C93" s="5" t="s">
        <v>16</v>
      </c>
      <c r="D93" s="5" t="s">
        <v>9</v>
      </c>
      <c r="E93" s="5" t="s">
        <v>10</v>
      </c>
      <c r="F93" s="6">
        <v>6</v>
      </c>
      <c r="G93" s="6">
        <v>2100</v>
      </c>
      <c r="H93" s="6">
        <f t="shared" si="1"/>
        <v>12600</v>
      </c>
    </row>
    <row r="94" spans="1:8" x14ac:dyDescent="0.5">
      <c r="A94" s="5">
        <v>106</v>
      </c>
      <c r="B94" s="3">
        <v>44316</v>
      </c>
      <c r="C94" s="5" t="s">
        <v>16</v>
      </c>
      <c r="D94" s="5" t="s">
        <v>12</v>
      </c>
      <c r="E94" s="5" t="s">
        <v>20</v>
      </c>
      <c r="F94" s="6">
        <v>5</v>
      </c>
      <c r="G94" s="6">
        <v>1500</v>
      </c>
      <c r="H94" s="6">
        <f t="shared" si="1"/>
        <v>7500</v>
      </c>
    </row>
    <row r="95" spans="1:8" x14ac:dyDescent="0.5">
      <c r="A95" s="5">
        <v>107</v>
      </c>
      <c r="B95" s="3">
        <v>44328</v>
      </c>
      <c r="C95" s="5" t="s">
        <v>16</v>
      </c>
      <c r="D95" s="5" t="s">
        <v>12</v>
      </c>
      <c r="E95" s="5" t="s">
        <v>20</v>
      </c>
      <c r="F95" s="6">
        <v>5</v>
      </c>
      <c r="G95" s="6">
        <v>1500</v>
      </c>
      <c r="H95" s="6">
        <f t="shared" si="1"/>
        <v>7500</v>
      </c>
    </row>
    <row r="96" spans="1:8" x14ac:dyDescent="0.5">
      <c r="A96" s="5">
        <v>108</v>
      </c>
      <c r="B96" s="3">
        <v>44364</v>
      </c>
      <c r="C96" s="5" t="s">
        <v>16</v>
      </c>
      <c r="D96" s="5" t="s">
        <v>12</v>
      </c>
      <c r="E96" s="5" t="s">
        <v>20</v>
      </c>
      <c r="F96" s="6">
        <v>4</v>
      </c>
      <c r="G96" s="6">
        <v>1500</v>
      </c>
      <c r="H96" s="6">
        <f t="shared" si="1"/>
        <v>6000</v>
      </c>
    </row>
    <row r="97" spans="1:8" x14ac:dyDescent="0.5">
      <c r="A97" s="5">
        <v>109</v>
      </c>
      <c r="B97" s="3">
        <v>44365</v>
      </c>
      <c r="C97" s="5" t="s">
        <v>16</v>
      </c>
      <c r="D97" s="5" t="s">
        <v>9</v>
      </c>
      <c r="E97" s="5" t="s">
        <v>20</v>
      </c>
      <c r="F97" s="6">
        <v>4</v>
      </c>
      <c r="G97" s="6">
        <v>1500</v>
      </c>
      <c r="H97" s="6">
        <f t="shared" si="1"/>
        <v>6000</v>
      </c>
    </row>
    <row r="98" spans="1:8" x14ac:dyDescent="0.5">
      <c r="A98" s="5">
        <v>110</v>
      </c>
      <c r="B98" s="3">
        <v>44378</v>
      </c>
      <c r="C98" s="5" t="s">
        <v>16</v>
      </c>
      <c r="D98" s="5" t="s">
        <v>12</v>
      </c>
      <c r="E98" s="5" t="s">
        <v>20</v>
      </c>
      <c r="F98" s="6">
        <v>4</v>
      </c>
      <c r="G98" s="6">
        <v>1500</v>
      </c>
      <c r="H98" s="6">
        <f t="shared" si="1"/>
        <v>6000</v>
      </c>
    </row>
    <row r="99" spans="1:8" x14ac:dyDescent="0.5">
      <c r="A99" s="5">
        <v>111</v>
      </c>
      <c r="B99" s="3">
        <v>44385</v>
      </c>
      <c r="C99" s="5" t="s">
        <v>16</v>
      </c>
      <c r="D99" s="5" t="s">
        <v>14</v>
      </c>
      <c r="E99" s="5" t="s">
        <v>20</v>
      </c>
      <c r="F99" s="6">
        <v>4</v>
      </c>
      <c r="G99" s="6">
        <v>1500</v>
      </c>
      <c r="H99" s="6">
        <f t="shared" si="1"/>
        <v>6000</v>
      </c>
    </row>
    <row r="100" spans="1:8" x14ac:dyDescent="0.5">
      <c r="A100" s="5">
        <v>112</v>
      </c>
      <c r="B100" s="3">
        <v>44399</v>
      </c>
      <c r="C100" s="5" t="s">
        <v>16</v>
      </c>
      <c r="D100" s="5" t="s">
        <v>9</v>
      </c>
      <c r="E100" s="5" t="s">
        <v>20</v>
      </c>
      <c r="F100" s="6">
        <v>4</v>
      </c>
      <c r="G100" s="6">
        <v>1500</v>
      </c>
      <c r="H100" s="6">
        <f t="shared" si="1"/>
        <v>6000</v>
      </c>
    </row>
    <row r="101" spans="1:8" x14ac:dyDescent="0.5">
      <c r="A101" s="5">
        <v>113</v>
      </c>
      <c r="B101" s="3">
        <v>44419</v>
      </c>
      <c r="C101" s="5" t="s">
        <v>16</v>
      </c>
      <c r="D101" s="5" t="s">
        <v>12</v>
      </c>
      <c r="E101" s="5" t="s">
        <v>19</v>
      </c>
      <c r="F101" s="6">
        <v>5</v>
      </c>
      <c r="G101" s="6">
        <v>1200</v>
      </c>
      <c r="H101" s="6">
        <f t="shared" si="1"/>
        <v>6000</v>
      </c>
    </row>
    <row r="102" spans="1:8" x14ac:dyDescent="0.5">
      <c r="A102" s="5">
        <v>114</v>
      </c>
      <c r="B102" s="3">
        <v>44438</v>
      </c>
      <c r="C102" s="5" t="s">
        <v>16</v>
      </c>
      <c r="D102" s="5" t="s">
        <v>9</v>
      </c>
      <c r="E102" s="5" t="s">
        <v>19</v>
      </c>
      <c r="F102" s="6">
        <v>5</v>
      </c>
      <c r="G102" s="6">
        <v>1200</v>
      </c>
      <c r="H102" s="6">
        <f t="shared" si="1"/>
        <v>6000</v>
      </c>
    </row>
    <row r="103" spans="1:8" x14ac:dyDescent="0.5">
      <c r="A103" s="5">
        <v>115</v>
      </c>
      <c r="B103" s="3">
        <v>44442</v>
      </c>
      <c r="C103" s="5" t="s">
        <v>16</v>
      </c>
      <c r="D103" s="5" t="s">
        <v>9</v>
      </c>
      <c r="E103" s="5" t="s">
        <v>10</v>
      </c>
      <c r="F103" s="6">
        <v>2</v>
      </c>
      <c r="G103" s="6">
        <v>2100</v>
      </c>
      <c r="H103" s="6">
        <f t="shared" si="1"/>
        <v>4200</v>
      </c>
    </row>
    <row r="104" spans="1:8" x14ac:dyDescent="0.5">
      <c r="A104" s="5">
        <v>116</v>
      </c>
      <c r="B104" s="3">
        <v>44453</v>
      </c>
      <c r="C104" s="5" t="s">
        <v>16</v>
      </c>
      <c r="D104" s="5" t="s">
        <v>9</v>
      </c>
      <c r="E104" s="5" t="s">
        <v>21</v>
      </c>
      <c r="F104" s="6">
        <v>5</v>
      </c>
      <c r="G104" s="6">
        <v>300</v>
      </c>
      <c r="H104" s="6">
        <f t="shared" si="1"/>
        <v>1500</v>
      </c>
    </row>
    <row r="105" spans="1:8" x14ac:dyDescent="0.5">
      <c r="A105" s="5">
        <v>117</v>
      </c>
      <c r="B105" s="3">
        <v>44456</v>
      </c>
      <c r="C105" s="5" t="s">
        <v>16</v>
      </c>
      <c r="D105" s="5" t="s">
        <v>12</v>
      </c>
      <c r="E105" s="5" t="s">
        <v>21</v>
      </c>
      <c r="F105" s="6">
        <v>5</v>
      </c>
      <c r="G105" s="6">
        <v>300</v>
      </c>
      <c r="H105" s="6">
        <f t="shared" si="1"/>
        <v>1500</v>
      </c>
    </row>
    <row r="106" spans="1:8" x14ac:dyDescent="0.5">
      <c r="A106" s="5">
        <v>118</v>
      </c>
      <c r="B106" s="3">
        <v>44489</v>
      </c>
      <c r="C106" s="5" t="s">
        <v>16</v>
      </c>
      <c r="D106" s="5" t="s">
        <v>9</v>
      </c>
      <c r="E106" s="5" t="s">
        <v>22</v>
      </c>
      <c r="F106" s="6">
        <v>7</v>
      </c>
      <c r="G106" s="6">
        <v>210</v>
      </c>
      <c r="H106" s="6">
        <f t="shared" si="1"/>
        <v>1470</v>
      </c>
    </row>
    <row r="107" spans="1:8" x14ac:dyDescent="0.5">
      <c r="A107" s="5">
        <v>119</v>
      </c>
      <c r="B107" s="3">
        <v>44498</v>
      </c>
      <c r="C107" s="5" t="s">
        <v>16</v>
      </c>
      <c r="D107" s="5" t="s">
        <v>9</v>
      </c>
      <c r="E107" s="5" t="s">
        <v>21</v>
      </c>
      <c r="F107" s="6">
        <v>4</v>
      </c>
      <c r="G107" s="6">
        <v>300</v>
      </c>
      <c r="H107" s="6">
        <f t="shared" si="1"/>
        <v>1200</v>
      </c>
    </row>
    <row r="108" spans="1:8" x14ac:dyDescent="0.5">
      <c r="A108" s="5">
        <v>120</v>
      </c>
      <c r="B108" s="3">
        <v>44552</v>
      </c>
      <c r="C108" s="5" t="s">
        <v>16</v>
      </c>
      <c r="D108" s="5" t="s">
        <v>14</v>
      </c>
      <c r="E108" s="5" t="s">
        <v>21</v>
      </c>
      <c r="F108" s="6">
        <v>3</v>
      </c>
      <c r="G108" s="6">
        <v>300</v>
      </c>
      <c r="H108" s="6">
        <f t="shared" si="1"/>
        <v>900</v>
      </c>
    </row>
    <row r="109" spans="1:8" x14ac:dyDescent="0.5">
      <c r="A109" s="5">
        <v>121</v>
      </c>
      <c r="B109" s="3">
        <v>44571</v>
      </c>
      <c r="C109" s="5" t="s">
        <v>16</v>
      </c>
      <c r="D109" s="5" t="s">
        <v>9</v>
      </c>
      <c r="E109" s="5" t="s">
        <v>21</v>
      </c>
      <c r="F109" s="6">
        <v>3</v>
      </c>
      <c r="G109" s="6">
        <v>300</v>
      </c>
      <c r="H109" s="6">
        <f t="shared" si="1"/>
        <v>900</v>
      </c>
    </row>
    <row r="110" spans="1:8" x14ac:dyDescent="0.5">
      <c r="A110" s="5">
        <v>122</v>
      </c>
      <c r="B110" s="3">
        <v>44575</v>
      </c>
      <c r="C110" s="5" t="s">
        <v>16</v>
      </c>
      <c r="D110" s="5" t="s">
        <v>12</v>
      </c>
      <c r="E110" s="5" t="s">
        <v>23</v>
      </c>
      <c r="F110" s="6">
        <v>4</v>
      </c>
      <c r="G110" s="6">
        <v>200</v>
      </c>
      <c r="H110" s="6">
        <f t="shared" si="1"/>
        <v>800</v>
      </c>
    </row>
    <row r="111" spans="1:8" x14ac:dyDescent="0.5">
      <c r="A111" s="5">
        <v>123</v>
      </c>
      <c r="B111" s="3">
        <v>44593</v>
      </c>
      <c r="C111" s="5" t="s">
        <v>16</v>
      </c>
      <c r="D111" s="5" t="s">
        <v>9</v>
      </c>
      <c r="E111" s="5" t="s">
        <v>22</v>
      </c>
      <c r="F111" s="6">
        <v>3</v>
      </c>
      <c r="G111" s="6">
        <v>190</v>
      </c>
      <c r="H111" s="6">
        <f t="shared" si="1"/>
        <v>570</v>
      </c>
    </row>
    <row r="112" spans="1:8" x14ac:dyDescent="0.5">
      <c r="A112" s="5">
        <v>124</v>
      </c>
      <c r="B112" s="3">
        <v>44613</v>
      </c>
      <c r="C112" s="5" t="s">
        <v>16</v>
      </c>
      <c r="D112" s="5" t="s">
        <v>9</v>
      </c>
      <c r="E112" s="5" t="s">
        <v>23</v>
      </c>
      <c r="F112" s="6">
        <v>3</v>
      </c>
      <c r="G112" s="6">
        <v>190</v>
      </c>
      <c r="H112" s="6">
        <f t="shared" si="1"/>
        <v>570</v>
      </c>
    </row>
    <row r="113" spans="1:8" x14ac:dyDescent="0.5">
      <c r="A113" s="5">
        <v>125</v>
      </c>
      <c r="B113" s="3">
        <v>44628</v>
      </c>
      <c r="C113" s="5" t="s">
        <v>16</v>
      </c>
      <c r="D113" s="5" t="s">
        <v>9</v>
      </c>
      <c r="E113" s="5" t="s">
        <v>22</v>
      </c>
      <c r="F113" s="6">
        <v>2</v>
      </c>
      <c r="G113" s="6">
        <v>210</v>
      </c>
      <c r="H113" s="6">
        <f t="shared" si="1"/>
        <v>420</v>
      </c>
    </row>
    <row r="114" spans="1:8" x14ac:dyDescent="0.5">
      <c r="A114" s="5">
        <v>126</v>
      </c>
      <c r="B114" s="3">
        <v>44631</v>
      </c>
      <c r="C114" s="5" t="s">
        <v>16</v>
      </c>
      <c r="D114" s="5" t="s">
        <v>12</v>
      </c>
      <c r="E114" s="5" t="s">
        <v>22</v>
      </c>
      <c r="F114" s="6">
        <v>2</v>
      </c>
      <c r="G114" s="6">
        <v>210</v>
      </c>
      <c r="H114" s="6">
        <f t="shared" si="1"/>
        <v>420</v>
      </c>
    </row>
    <row r="115" spans="1:8" x14ac:dyDescent="0.5">
      <c r="A115" s="5">
        <v>127</v>
      </c>
      <c r="B115" s="3">
        <v>44666</v>
      </c>
      <c r="C115" s="5" t="s">
        <v>16</v>
      </c>
      <c r="D115" s="5" t="s">
        <v>12</v>
      </c>
      <c r="E115" s="5" t="s">
        <v>22</v>
      </c>
      <c r="F115" s="6">
        <v>2</v>
      </c>
      <c r="G115" s="6">
        <v>210</v>
      </c>
      <c r="H115" s="6">
        <f t="shared" si="1"/>
        <v>420</v>
      </c>
    </row>
    <row r="116" spans="1:8" x14ac:dyDescent="0.5">
      <c r="A116" s="5">
        <v>128</v>
      </c>
      <c r="B116" s="3">
        <v>44684</v>
      </c>
      <c r="C116" s="5" t="s">
        <v>16</v>
      </c>
      <c r="D116" s="5" t="s">
        <v>12</v>
      </c>
      <c r="E116" s="5" t="s">
        <v>23</v>
      </c>
      <c r="F116" s="6">
        <v>2</v>
      </c>
      <c r="G116" s="6">
        <v>190</v>
      </c>
      <c r="H116" s="6">
        <f t="shared" si="1"/>
        <v>380</v>
      </c>
    </row>
    <row r="117" spans="1:8" x14ac:dyDescent="0.5">
      <c r="A117" s="5">
        <v>129</v>
      </c>
      <c r="B117" s="3">
        <v>44691</v>
      </c>
      <c r="C117" s="5" t="s">
        <v>16</v>
      </c>
      <c r="D117" s="5" t="s">
        <v>14</v>
      </c>
      <c r="E117" s="5" t="s">
        <v>23</v>
      </c>
      <c r="F117" s="6">
        <v>2</v>
      </c>
      <c r="G117" s="6">
        <v>190</v>
      </c>
      <c r="H117" s="6">
        <f t="shared" si="1"/>
        <v>380</v>
      </c>
    </row>
    <row r="118" spans="1:8" x14ac:dyDescent="0.5">
      <c r="A118" s="5">
        <v>130</v>
      </c>
      <c r="B118" s="3">
        <v>44701</v>
      </c>
      <c r="C118" s="5" t="s">
        <v>16</v>
      </c>
      <c r="D118" s="5" t="s">
        <v>9</v>
      </c>
      <c r="E118" s="5" t="s">
        <v>23</v>
      </c>
      <c r="F118" s="6">
        <v>2</v>
      </c>
      <c r="G118" s="6">
        <v>190</v>
      </c>
      <c r="H118" s="6">
        <f t="shared" si="1"/>
        <v>380</v>
      </c>
    </row>
    <row r="119" spans="1:8" x14ac:dyDescent="0.5">
      <c r="A119" s="5">
        <v>131</v>
      </c>
      <c r="B119" s="3">
        <v>44714</v>
      </c>
      <c r="C119" s="5" t="s">
        <v>16</v>
      </c>
      <c r="D119" s="5" t="s">
        <v>14</v>
      </c>
      <c r="E119" s="5" t="s">
        <v>23</v>
      </c>
      <c r="F119" s="6">
        <v>2</v>
      </c>
      <c r="G119" s="6">
        <v>190</v>
      </c>
      <c r="H119" s="6">
        <f t="shared" si="1"/>
        <v>380</v>
      </c>
    </row>
    <row r="120" spans="1:8" x14ac:dyDescent="0.5">
      <c r="A120" s="5">
        <v>132</v>
      </c>
      <c r="B120" s="3">
        <v>44700</v>
      </c>
      <c r="C120" s="5" t="s">
        <v>24</v>
      </c>
      <c r="D120" s="5" t="s">
        <v>25</v>
      </c>
      <c r="E120" s="5" t="s">
        <v>10</v>
      </c>
      <c r="F120" s="6">
        <v>2</v>
      </c>
      <c r="G120" s="6">
        <v>170</v>
      </c>
      <c r="H120" s="6">
        <f t="shared" si="1"/>
        <v>340</v>
      </c>
    </row>
    <row r="121" spans="1:8" x14ac:dyDescent="0.5">
      <c r="A121" s="5">
        <v>133</v>
      </c>
      <c r="B121" s="3">
        <v>44218</v>
      </c>
      <c r="C121" s="5" t="s">
        <v>17</v>
      </c>
      <c r="D121" s="5" t="s">
        <v>14</v>
      </c>
      <c r="E121" s="5" t="s">
        <v>10</v>
      </c>
      <c r="F121" s="6">
        <v>7</v>
      </c>
      <c r="G121" s="6">
        <v>2100</v>
      </c>
      <c r="H121" s="6">
        <f t="shared" si="1"/>
        <v>14700</v>
      </c>
    </row>
    <row r="122" spans="1:8" x14ac:dyDescent="0.5">
      <c r="A122" s="5">
        <v>134</v>
      </c>
      <c r="B122" s="3">
        <v>44236</v>
      </c>
      <c r="C122" s="5" t="s">
        <v>17</v>
      </c>
      <c r="D122" s="5" t="s">
        <v>9</v>
      </c>
      <c r="E122" s="5" t="s">
        <v>10</v>
      </c>
      <c r="F122" s="6">
        <v>7</v>
      </c>
      <c r="G122" s="6">
        <v>2100</v>
      </c>
      <c r="H122" s="6">
        <f t="shared" si="1"/>
        <v>14700</v>
      </c>
    </row>
    <row r="123" spans="1:8" x14ac:dyDescent="0.5">
      <c r="A123" s="5">
        <v>135</v>
      </c>
      <c r="B123" s="3">
        <v>44253</v>
      </c>
      <c r="C123" s="5" t="s">
        <v>17</v>
      </c>
      <c r="D123" s="5" t="s">
        <v>9</v>
      </c>
      <c r="E123" s="5" t="s">
        <v>10</v>
      </c>
      <c r="F123" s="6">
        <v>7</v>
      </c>
      <c r="G123" s="6">
        <v>2100</v>
      </c>
      <c r="H123" s="6">
        <f t="shared" si="1"/>
        <v>14700</v>
      </c>
    </row>
    <row r="124" spans="1:8" x14ac:dyDescent="0.5">
      <c r="A124" s="5">
        <v>136</v>
      </c>
      <c r="B124" s="3">
        <v>44292</v>
      </c>
      <c r="C124" s="5" t="s">
        <v>17</v>
      </c>
      <c r="D124" s="5" t="s">
        <v>9</v>
      </c>
      <c r="E124" s="5" t="s">
        <v>10</v>
      </c>
      <c r="F124" s="6">
        <v>6</v>
      </c>
      <c r="G124" s="6">
        <v>2100</v>
      </c>
      <c r="H124" s="6">
        <f t="shared" si="1"/>
        <v>12600</v>
      </c>
    </row>
    <row r="125" spans="1:8" x14ac:dyDescent="0.5">
      <c r="A125" s="5">
        <v>137</v>
      </c>
      <c r="B125" s="3">
        <v>44342</v>
      </c>
      <c r="C125" s="5" t="s">
        <v>17</v>
      </c>
      <c r="D125" s="5" t="s">
        <v>9</v>
      </c>
      <c r="E125" s="5" t="s">
        <v>20</v>
      </c>
      <c r="F125" s="6">
        <v>6</v>
      </c>
      <c r="G125" s="6">
        <v>1200</v>
      </c>
      <c r="H125" s="6">
        <f t="shared" si="1"/>
        <v>7200</v>
      </c>
    </row>
    <row r="126" spans="1:8" x14ac:dyDescent="0.5">
      <c r="A126" s="5">
        <v>138</v>
      </c>
      <c r="B126" s="3">
        <v>44348</v>
      </c>
      <c r="C126" s="5" t="s">
        <v>17</v>
      </c>
      <c r="D126" s="5" t="s">
        <v>9</v>
      </c>
      <c r="E126" s="5" t="s">
        <v>19</v>
      </c>
      <c r="F126" s="6">
        <v>6</v>
      </c>
      <c r="G126" s="6">
        <v>1200</v>
      </c>
      <c r="H126" s="6">
        <f t="shared" si="1"/>
        <v>7200</v>
      </c>
    </row>
    <row r="127" spans="1:8" x14ac:dyDescent="0.5">
      <c r="A127" s="5">
        <v>139</v>
      </c>
      <c r="B127" s="3">
        <v>44356</v>
      </c>
      <c r="C127" s="5" t="s">
        <v>17</v>
      </c>
      <c r="D127" s="5" t="s">
        <v>9</v>
      </c>
      <c r="E127" s="5" t="s">
        <v>19</v>
      </c>
      <c r="F127" s="6">
        <v>6</v>
      </c>
      <c r="G127" s="6">
        <v>1200</v>
      </c>
      <c r="H127" s="6">
        <f t="shared" si="1"/>
        <v>7200</v>
      </c>
    </row>
    <row r="128" spans="1:8" x14ac:dyDescent="0.5">
      <c r="A128" s="5">
        <v>140</v>
      </c>
      <c r="B128" s="3">
        <v>44391</v>
      </c>
      <c r="C128" s="5" t="s">
        <v>17</v>
      </c>
      <c r="D128" s="5" t="s">
        <v>9</v>
      </c>
      <c r="E128" s="5" t="s">
        <v>20</v>
      </c>
      <c r="F128" s="6">
        <v>4</v>
      </c>
      <c r="G128" s="6">
        <v>1500</v>
      </c>
      <c r="H128" s="6">
        <f t="shared" si="1"/>
        <v>6000</v>
      </c>
    </row>
    <row r="129" spans="1:8" x14ac:dyDescent="0.5">
      <c r="A129" s="5">
        <v>141</v>
      </c>
      <c r="B129" s="3">
        <v>44400</v>
      </c>
      <c r="C129" s="5" t="s">
        <v>17</v>
      </c>
      <c r="D129" s="5" t="s">
        <v>9</v>
      </c>
      <c r="E129" s="5" t="s">
        <v>20</v>
      </c>
      <c r="F129" s="6">
        <v>4</v>
      </c>
      <c r="G129" s="6">
        <v>1500</v>
      </c>
      <c r="H129" s="6">
        <f t="shared" si="1"/>
        <v>6000</v>
      </c>
    </row>
    <row r="130" spans="1:8" x14ac:dyDescent="0.5">
      <c r="A130" s="5">
        <v>142</v>
      </c>
      <c r="B130" s="3">
        <v>44410</v>
      </c>
      <c r="C130" s="5" t="s">
        <v>17</v>
      </c>
      <c r="D130" s="5" t="s">
        <v>9</v>
      </c>
      <c r="E130" s="5" t="s">
        <v>19</v>
      </c>
      <c r="F130" s="6">
        <v>5</v>
      </c>
      <c r="G130" s="6">
        <v>1200</v>
      </c>
      <c r="H130" s="6">
        <f t="shared" ref="H130:H193" si="2">F130*G130</f>
        <v>6000</v>
      </c>
    </row>
    <row r="131" spans="1:8" x14ac:dyDescent="0.5">
      <c r="A131" s="5">
        <v>143</v>
      </c>
      <c r="B131" s="3">
        <v>44411</v>
      </c>
      <c r="C131" s="5" t="s">
        <v>17</v>
      </c>
      <c r="D131" s="5" t="s">
        <v>9</v>
      </c>
      <c r="E131" s="5" t="s">
        <v>19</v>
      </c>
      <c r="F131" s="6">
        <v>5</v>
      </c>
      <c r="G131" s="6">
        <v>1200</v>
      </c>
      <c r="H131" s="6">
        <f t="shared" si="2"/>
        <v>6000</v>
      </c>
    </row>
    <row r="132" spans="1:8" x14ac:dyDescent="0.5">
      <c r="A132" s="5">
        <v>144</v>
      </c>
      <c r="B132" s="3">
        <v>44424</v>
      </c>
      <c r="C132" s="5" t="s">
        <v>17</v>
      </c>
      <c r="D132" s="5" t="s">
        <v>14</v>
      </c>
      <c r="E132" s="5" t="s">
        <v>19</v>
      </c>
      <c r="F132" s="6">
        <v>5</v>
      </c>
      <c r="G132" s="6">
        <v>1200</v>
      </c>
      <c r="H132" s="6">
        <f t="shared" si="2"/>
        <v>6000</v>
      </c>
    </row>
    <row r="133" spans="1:8" x14ac:dyDescent="0.5">
      <c r="A133" s="5">
        <v>145</v>
      </c>
      <c r="B133" s="3">
        <v>44481</v>
      </c>
      <c r="C133" s="5" t="s">
        <v>17</v>
      </c>
      <c r="D133" s="5" t="s">
        <v>9</v>
      </c>
      <c r="E133" s="5" t="s">
        <v>22</v>
      </c>
      <c r="F133" s="6">
        <v>7</v>
      </c>
      <c r="G133" s="6">
        <v>210</v>
      </c>
      <c r="H133" s="6">
        <f t="shared" si="2"/>
        <v>1470</v>
      </c>
    </row>
    <row r="134" spans="1:8" x14ac:dyDescent="0.5">
      <c r="A134" s="5">
        <v>146</v>
      </c>
      <c r="B134" s="3">
        <v>44482</v>
      </c>
      <c r="C134" s="5" t="s">
        <v>17</v>
      </c>
      <c r="D134" s="5" t="s">
        <v>9</v>
      </c>
      <c r="E134" s="5" t="s">
        <v>22</v>
      </c>
      <c r="F134" s="6">
        <v>7</v>
      </c>
      <c r="G134" s="6">
        <v>210</v>
      </c>
      <c r="H134" s="6">
        <f t="shared" si="2"/>
        <v>1470</v>
      </c>
    </row>
    <row r="135" spans="1:8" x14ac:dyDescent="0.5">
      <c r="A135" s="5">
        <v>147</v>
      </c>
      <c r="B135" s="3">
        <v>44488</v>
      </c>
      <c r="C135" s="5" t="s">
        <v>17</v>
      </c>
      <c r="D135" s="5" t="s">
        <v>14</v>
      </c>
      <c r="E135" s="5" t="s">
        <v>22</v>
      </c>
      <c r="F135" s="6">
        <v>7</v>
      </c>
      <c r="G135" s="6">
        <v>210</v>
      </c>
      <c r="H135" s="6">
        <f t="shared" si="2"/>
        <v>1470</v>
      </c>
    </row>
    <row r="136" spans="1:8" x14ac:dyDescent="0.5">
      <c r="A136" s="5">
        <v>148</v>
      </c>
      <c r="B136" s="3">
        <v>44516</v>
      </c>
      <c r="C136" s="5" t="s">
        <v>17</v>
      </c>
      <c r="D136" s="5" t="s">
        <v>9</v>
      </c>
      <c r="E136" s="5" t="s">
        <v>21</v>
      </c>
      <c r="F136" s="6">
        <v>4</v>
      </c>
      <c r="G136" s="6">
        <v>300</v>
      </c>
      <c r="H136" s="6">
        <f t="shared" si="2"/>
        <v>1200</v>
      </c>
    </row>
    <row r="137" spans="1:8" x14ac:dyDescent="0.5">
      <c r="A137" s="5">
        <v>149</v>
      </c>
      <c r="B137" s="3">
        <v>44525</v>
      </c>
      <c r="C137" s="5" t="s">
        <v>17</v>
      </c>
      <c r="D137" s="5" t="s">
        <v>9</v>
      </c>
      <c r="E137" s="5" t="s">
        <v>21</v>
      </c>
      <c r="F137" s="6">
        <v>4</v>
      </c>
      <c r="G137" s="6">
        <v>300</v>
      </c>
      <c r="H137" s="6">
        <f t="shared" si="2"/>
        <v>1200</v>
      </c>
    </row>
    <row r="138" spans="1:8" x14ac:dyDescent="0.5">
      <c r="A138" s="5">
        <v>150</v>
      </c>
      <c r="B138" s="3">
        <v>44531</v>
      </c>
      <c r="C138" s="5" t="s">
        <v>17</v>
      </c>
      <c r="D138" s="5" t="s">
        <v>9</v>
      </c>
      <c r="E138" s="5" t="s">
        <v>21</v>
      </c>
      <c r="F138" s="6">
        <v>3</v>
      </c>
      <c r="G138" s="6">
        <v>300</v>
      </c>
      <c r="H138" s="6">
        <f t="shared" si="2"/>
        <v>900</v>
      </c>
    </row>
    <row r="139" spans="1:8" x14ac:dyDescent="0.5">
      <c r="A139" s="5">
        <v>151</v>
      </c>
      <c r="B139" s="3">
        <v>44532</v>
      </c>
      <c r="C139" s="5" t="s">
        <v>17</v>
      </c>
      <c r="D139" s="5" t="s">
        <v>9</v>
      </c>
      <c r="E139" s="5" t="s">
        <v>21</v>
      </c>
      <c r="F139" s="6">
        <v>3</v>
      </c>
      <c r="G139" s="6">
        <v>300</v>
      </c>
      <c r="H139" s="6">
        <f t="shared" si="2"/>
        <v>900</v>
      </c>
    </row>
    <row r="140" spans="1:8" x14ac:dyDescent="0.5">
      <c r="A140" s="5">
        <v>152</v>
      </c>
      <c r="B140" s="3">
        <v>44559</v>
      </c>
      <c r="C140" s="5" t="s">
        <v>17</v>
      </c>
      <c r="D140" s="5" t="s">
        <v>9</v>
      </c>
      <c r="E140" s="5" t="s">
        <v>21</v>
      </c>
      <c r="F140" s="6">
        <v>3</v>
      </c>
      <c r="G140" s="6">
        <v>300</v>
      </c>
      <c r="H140" s="6">
        <f t="shared" si="2"/>
        <v>900</v>
      </c>
    </row>
    <row r="141" spans="1:8" x14ac:dyDescent="0.5">
      <c r="A141" s="5">
        <v>153</v>
      </c>
      <c r="B141" s="3">
        <v>44568</v>
      </c>
      <c r="C141" s="5" t="s">
        <v>17</v>
      </c>
      <c r="D141" s="5" t="s">
        <v>14</v>
      </c>
      <c r="E141" s="5" t="s">
        <v>21</v>
      </c>
      <c r="F141" s="6">
        <v>3</v>
      </c>
      <c r="G141" s="6">
        <v>300</v>
      </c>
      <c r="H141" s="6">
        <f t="shared" si="2"/>
        <v>900</v>
      </c>
    </row>
    <row r="142" spans="1:8" x14ac:dyDescent="0.5">
      <c r="A142" s="5">
        <v>154</v>
      </c>
      <c r="B142" s="3">
        <v>44579</v>
      </c>
      <c r="C142" s="5" t="s">
        <v>17</v>
      </c>
      <c r="D142" s="5" t="s">
        <v>9</v>
      </c>
      <c r="E142" s="5" t="s">
        <v>23</v>
      </c>
      <c r="F142" s="6">
        <v>4</v>
      </c>
      <c r="G142" s="6">
        <v>200</v>
      </c>
      <c r="H142" s="6">
        <f t="shared" si="2"/>
        <v>800</v>
      </c>
    </row>
    <row r="143" spans="1:8" x14ac:dyDescent="0.5">
      <c r="A143" s="5">
        <v>155</v>
      </c>
      <c r="B143" s="3">
        <v>44582</v>
      </c>
      <c r="C143" s="5" t="s">
        <v>17</v>
      </c>
      <c r="D143" s="5" t="s">
        <v>9</v>
      </c>
      <c r="E143" s="5" t="s">
        <v>23</v>
      </c>
      <c r="F143" s="6">
        <v>4</v>
      </c>
      <c r="G143" s="6">
        <v>200</v>
      </c>
      <c r="H143" s="6">
        <f t="shared" si="2"/>
        <v>800</v>
      </c>
    </row>
    <row r="144" spans="1:8" x14ac:dyDescent="0.5">
      <c r="A144" s="5">
        <v>156</v>
      </c>
      <c r="B144" s="3">
        <v>44585</v>
      </c>
      <c r="C144" s="5" t="s">
        <v>17</v>
      </c>
      <c r="D144" s="5" t="s">
        <v>9</v>
      </c>
      <c r="E144" s="5" t="s">
        <v>22</v>
      </c>
      <c r="F144" s="6">
        <v>3</v>
      </c>
      <c r="G144" s="6">
        <v>190</v>
      </c>
      <c r="H144" s="6">
        <f t="shared" si="2"/>
        <v>570</v>
      </c>
    </row>
    <row r="145" spans="1:8" x14ac:dyDescent="0.5">
      <c r="A145" s="5">
        <v>157</v>
      </c>
      <c r="B145" s="3">
        <v>44586</v>
      </c>
      <c r="C145" s="5" t="s">
        <v>17</v>
      </c>
      <c r="D145" s="5" t="s">
        <v>14</v>
      </c>
      <c r="E145" s="5" t="s">
        <v>22</v>
      </c>
      <c r="F145" s="6">
        <v>3</v>
      </c>
      <c r="G145" s="6">
        <v>190</v>
      </c>
      <c r="H145" s="6">
        <f t="shared" si="2"/>
        <v>570</v>
      </c>
    </row>
    <row r="146" spans="1:8" x14ac:dyDescent="0.5">
      <c r="A146" s="5">
        <v>158</v>
      </c>
      <c r="B146" s="3">
        <v>44594</v>
      </c>
      <c r="C146" s="5" t="s">
        <v>17</v>
      </c>
      <c r="D146" s="5" t="s">
        <v>9</v>
      </c>
      <c r="E146" s="5" t="s">
        <v>22</v>
      </c>
      <c r="F146" s="6">
        <v>3</v>
      </c>
      <c r="G146" s="6">
        <v>190</v>
      </c>
      <c r="H146" s="6">
        <f t="shared" si="2"/>
        <v>570</v>
      </c>
    </row>
    <row r="147" spans="1:8" x14ac:dyDescent="0.5">
      <c r="A147" s="5">
        <v>159</v>
      </c>
      <c r="B147" s="3">
        <v>44603</v>
      </c>
      <c r="C147" s="5" t="s">
        <v>17</v>
      </c>
      <c r="D147" s="5" t="s">
        <v>9</v>
      </c>
      <c r="E147" s="5" t="s">
        <v>23</v>
      </c>
      <c r="F147" s="6">
        <v>3</v>
      </c>
      <c r="G147" s="6">
        <v>190</v>
      </c>
      <c r="H147" s="6">
        <f t="shared" si="2"/>
        <v>570</v>
      </c>
    </row>
    <row r="148" spans="1:8" x14ac:dyDescent="0.5">
      <c r="A148" s="5">
        <v>160</v>
      </c>
      <c r="B148" s="3">
        <v>44608</v>
      </c>
      <c r="C148" s="5" t="s">
        <v>17</v>
      </c>
      <c r="D148" s="5" t="s">
        <v>9</v>
      </c>
      <c r="E148" s="5" t="s">
        <v>23</v>
      </c>
      <c r="F148" s="6">
        <v>3</v>
      </c>
      <c r="G148" s="6">
        <v>190</v>
      </c>
      <c r="H148" s="6">
        <f t="shared" si="2"/>
        <v>570</v>
      </c>
    </row>
    <row r="149" spans="1:8" x14ac:dyDescent="0.5">
      <c r="A149" s="5">
        <v>161</v>
      </c>
      <c r="B149" s="3">
        <v>44635</v>
      </c>
      <c r="C149" s="5" t="s">
        <v>17</v>
      </c>
      <c r="D149" s="5" t="s">
        <v>9</v>
      </c>
      <c r="E149" s="5" t="s">
        <v>22</v>
      </c>
      <c r="F149" s="6">
        <v>2</v>
      </c>
      <c r="G149" s="6">
        <v>210</v>
      </c>
      <c r="H149" s="6">
        <f t="shared" si="2"/>
        <v>420</v>
      </c>
    </row>
    <row r="150" spans="1:8" x14ac:dyDescent="0.5">
      <c r="A150" s="5">
        <v>162</v>
      </c>
      <c r="B150" s="3">
        <v>44636</v>
      </c>
      <c r="C150" s="5" t="s">
        <v>17</v>
      </c>
      <c r="D150" s="5" t="s">
        <v>9</v>
      </c>
      <c r="E150" s="5" t="s">
        <v>22</v>
      </c>
      <c r="F150" s="6">
        <v>2</v>
      </c>
      <c r="G150" s="6">
        <v>210</v>
      </c>
      <c r="H150" s="6">
        <f t="shared" si="2"/>
        <v>420</v>
      </c>
    </row>
    <row r="151" spans="1:8" x14ac:dyDescent="0.5">
      <c r="A151" s="5">
        <v>163</v>
      </c>
      <c r="B151" s="3">
        <v>44652</v>
      </c>
      <c r="C151" s="5" t="s">
        <v>17</v>
      </c>
      <c r="D151" s="5" t="s">
        <v>9</v>
      </c>
      <c r="E151" s="5" t="s">
        <v>22</v>
      </c>
      <c r="F151" s="6">
        <v>2</v>
      </c>
      <c r="G151" s="6">
        <v>210</v>
      </c>
      <c r="H151" s="6">
        <f t="shared" si="2"/>
        <v>420</v>
      </c>
    </row>
    <row r="152" spans="1:8" x14ac:dyDescent="0.5">
      <c r="A152" s="5">
        <v>164</v>
      </c>
      <c r="B152" s="3">
        <v>44669</v>
      </c>
      <c r="C152" s="5" t="s">
        <v>17</v>
      </c>
      <c r="D152" s="5" t="s">
        <v>9</v>
      </c>
      <c r="E152" s="5" t="s">
        <v>22</v>
      </c>
      <c r="F152" s="6">
        <v>2</v>
      </c>
      <c r="G152" s="6">
        <v>210</v>
      </c>
      <c r="H152" s="6">
        <f t="shared" si="2"/>
        <v>420</v>
      </c>
    </row>
    <row r="153" spans="1:8" x14ac:dyDescent="0.5">
      <c r="A153" s="5">
        <v>165</v>
      </c>
      <c r="B153" s="3">
        <v>44715</v>
      </c>
      <c r="C153" s="5" t="s">
        <v>17</v>
      </c>
      <c r="D153" s="5" t="s">
        <v>14</v>
      </c>
      <c r="E153" s="5" t="s">
        <v>23</v>
      </c>
      <c r="F153" s="6">
        <v>2</v>
      </c>
      <c r="G153" s="6">
        <v>190</v>
      </c>
      <c r="H153" s="6">
        <f t="shared" si="2"/>
        <v>380</v>
      </c>
    </row>
    <row r="154" spans="1:8" x14ac:dyDescent="0.5">
      <c r="A154" s="5">
        <v>166</v>
      </c>
      <c r="B154" s="3">
        <v>44216</v>
      </c>
      <c r="C154" s="5" t="s">
        <v>15</v>
      </c>
      <c r="D154" s="5" t="s">
        <v>14</v>
      </c>
      <c r="E154" s="5" t="s">
        <v>10</v>
      </c>
      <c r="F154" s="6">
        <v>7</v>
      </c>
      <c r="G154" s="6">
        <v>2100</v>
      </c>
      <c r="H154" s="6">
        <f t="shared" si="2"/>
        <v>14700</v>
      </c>
    </row>
    <row r="155" spans="1:8" x14ac:dyDescent="0.5">
      <c r="A155" s="5">
        <v>167</v>
      </c>
      <c r="B155" s="3">
        <v>44251</v>
      </c>
      <c r="C155" s="5" t="s">
        <v>15</v>
      </c>
      <c r="D155" s="5" t="s">
        <v>9</v>
      </c>
      <c r="E155" s="5" t="s">
        <v>10</v>
      </c>
      <c r="F155" s="6">
        <v>7</v>
      </c>
      <c r="G155" s="6">
        <v>2100</v>
      </c>
      <c r="H155" s="6">
        <f t="shared" si="2"/>
        <v>14700</v>
      </c>
    </row>
    <row r="156" spans="1:8" x14ac:dyDescent="0.5">
      <c r="A156" s="5">
        <v>168</v>
      </c>
      <c r="B156" s="3">
        <v>44281</v>
      </c>
      <c r="C156" s="5" t="s">
        <v>15</v>
      </c>
      <c r="D156" s="5" t="s">
        <v>9</v>
      </c>
      <c r="E156" s="5" t="s">
        <v>10</v>
      </c>
      <c r="F156" s="6">
        <v>6</v>
      </c>
      <c r="G156" s="6">
        <v>2100</v>
      </c>
      <c r="H156" s="6">
        <f t="shared" si="2"/>
        <v>12600</v>
      </c>
    </row>
    <row r="157" spans="1:8" x14ac:dyDescent="0.5">
      <c r="A157" s="5">
        <v>169</v>
      </c>
      <c r="B157" s="3">
        <v>44299</v>
      </c>
      <c r="C157" s="5" t="s">
        <v>15</v>
      </c>
      <c r="D157" s="5" t="s">
        <v>12</v>
      </c>
      <c r="E157" s="5" t="s">
        <v>10</v>
      </c>
      <c r="F157" s="6">
        <v>6</v>
      </c>
      <c r="G157" s="6">
        <v>2100</v>
      </c>
      <c r="H157" s="6">
        <f t="shared" si="2"/>
        <v>12600</v>
      </c>
    </row>
    <row r="158" spans="1:8" x14ac:dyDescent="0.5">
      <c r="A158" s="5">
        <v>170</v>
      </c>
      <c r="B158" s="3">
        <v>44312</v>
      </c>
      <c r="C158" s="5" t="s">
        <v>15</v>
      </c>
      <c r="D158" s="5" t="s">
        <v>9</v>
      </c>
      <c r="E158" s="5" t="s">
        <v>20</v>
      </c>
      <c r="F158" s="6">
        <v>5</v>
      </c>
      <c r="G158" s="6">
        <v>1500</v>
      </c>
      <c r="H158" s="6">
        <f t="shared" si="2"/>
        <v>7500</v>
      </c>
    </row>
    <row r="159" spans="1:8" x14ac:dyDescent="0.5">
      <c r="A159" s="5">
        <v>171</v>
      </c>
      <c r="B159" s="3">
        <v>44340</v>
      </c>
      <c r="C159" s="5" t="s">
        <v>15</v>
      </c>
      <c r="D159" s="5" t="s">
        <v>12</v>
      </c>
      <c r="E159" s="5" t="s">
        <v>20</v>
      </c>
      <c r="F159" s="6">
        <v>6</v>
      </c>
      <c r="G159" s="6">
        <v>1200</v>
      </c>
      <c r="H159" s="6">
        <f t="shared" si="2"/>
        <v>7200</v>
      </c>
    </row>
    <row r="160" spans="1:8" x14ac:dyDescent="0.5">
      <c r="A160" s="5">
        <v>172</v>
      </c>
      <c r="B160" s="3">
        <v>44343</v>
      </c>
      <c r="C160" s="5" t="s">
        <v>15</v>
      </c>
      <c r="D160" s="5" t="s">
        <v>9</v>
      </c>
      <c r="E160" s="5" t="s">
        <v>20</v>
      </c>
      <c r="F160" s="6">
        <v>6</v>
      </c>
      <c r="G160" s="6">
        <v>1200</v>
      </c>
      <c r="H160" s="6">
        <f t="shared" si="2"/>
        <v>7200</v>
      </c>
    </row>
    <row r="161" spans="1:8" x14ac:dyDescent="0.5">
      <c r="A161" s="5">
        <v>173</v>
      </c>
      <c r="B161" s="3">
        <v>44351</v>
      </c>
      <c r="C161" s="5" t="s">
        <v>15</v>
      </c>
      <c r="D161" s="5" t="s">
        <v>9</v>
      </c>
      <c r="E161" s="5" t="s">
        <v>19</v>
      </c>
      <c r="F161" s="6">
        <v>6</v>
      </c>
      <c r="G161" s="6">
        <v>1200</v>
      </c>
      <c r="H161" s="6">
        <f t="shared" si="2"/>
        <v>7200</v>
      </c>
    </row>
    <row r="162" spans="1:8" x14ac:dyDescent="0.5">
      <c r="A162" s="5">
        <v>174</v>
      </c>
      <c r="B162" s="3">
        <v>44386</v>
      </c>
      <c r="C162" s="5" t="s">
        <v>15</v>
      </c>
      <c r="D162" s="5" t="s">
        <v>12</v>
      </c>
      <c r="E162" s="5" t="s">
        <v>20</v>
      </c>
      <c r="F162" s="6">
        <v>4</v>
      </c>
      <c r="G162" s="6">
        <v>1500</v>
      </c>
      <c r="H162" s="6">
        <f t="shared" si="2"/>
        <v>6000</v>
      </c>
    </row>
    <row r="163" spans="1:8" x14ac:dyDescent="0.5">
      <c r="A163" s="5">
        <v>175</v>
      </c>
      <c r="B163" s="3">
        <v>44398</v>
      </c>
      <c r="C163" s="5" t="s">
        <v>15</v>
      </c>
      <c r="D163" s="5" t="s">
        <v>9</v>
      </c>
      <c r="E163" s="5" t="s">
        <v>20</v>
      </c>
      <c r="F163" s="6">
        <v>4</v>
      </c>
      <c r="G163" s="6">
        <v>1500</v>
      </c>
      <c r="H163" s="6">
        <f t="shared" si="2"/>
        <v>6000</v>
      </c>
    </row>
    <row r="164" spans="1:8" x14ac:dyDescent="0.5">
      <c r="A164" s="5">
        <v>176</v>
      </c>
      <c r="B164" s="3">
        <v>44405</v>
      </c>
      <c r="C164" s="5" t="s">
        <v>15</v>
      </c>
      <c r="D164" s="5" t="s">
        <v>9</v>
      </c>
      <c r="E164" s="5" t="s">
        <v>19</v>
      </c>
      <c r="F164" s="6">
        <v>5</v>
      </c>
      <c r="G164" s="6">
        <v>1200</v>
      </c>
      <c r="H164" s="6">
        <f t="shared" si="2"/>
        <v>6000</v>
      </c>
    </row>
    <row r="165" spans="1:8" x14ac:dyDescent="0.5">
      <c r="A165" s="5">
        <v>177</v>
      </c>
      <c r="B165" s="3">
        <v>44406</v>
      </c>
      <c r="C165" s="5" t="s">
        <v>15</v>
      </c>
      <c r="D165" s="5" t="s">
        <v>12</v>
      </c>
      <c r="E165" s="5" t="s">
        <v>19</v>
      </c>
      <c r="F165" s="6">
        <v>5</v>
      </c>
      <c r="G165" s="6">
        <v>1200</v>
      </c>
      <c r="H165" s="6">
        <f t="shared" si="2"/>
        <v>6000</v>
      </c>
    </row>
    <row r="166" spans="1:8" x14ac:dyDescent="0.5">
      <c r="A166" s="5">
        <v>178</v>
      </c>
      <c r="B166" s="3">
        <v>44426</v>
      </c>
      <c r="C166" s="5" t="s">
        <v>15</v>
      </c>
      <c r="D166" s="5" t="s">
        <v>9</v>
      </c>
      <c r="E166" s="5" t="s">
        <v>19</v>
      </c>
      <c r="F166" s="6">
        <v>5</v>
      </c>
      <c r="G166" s="6">
        <v>1200</v>
      </c>
      <c r="H166" s="6">
        <f t="shared" si="2"/>
        <v>6000</v>
      </c>
    </row>
    <row r="167" spans="1:8" x14ac:dyDescent="0.5">
      <c r="A167" s="5">
        <v>179</v>
      </c>
      <c r="B167" s="3">
        <v>44432</v>
      </c>
      <c r="C167" s="5" t="s">
        <v>15</v>
      </c>
      <c r="D167" s="5" t="s">
        <v>14</v>
      </c>
      <c r="E167" s="5" t="s">
        <v>19</v>
      </c>
      <c r="F167" s="6">
        <v>5</v>
      </c>
      <c r="G167" s="6">
        <v>1200</v>
      </c>
      <c r="H167" s="6">
        <f t="shared" si="2"/>
        <v>6000</v>
      </c>
    </row>
    <row r="168" spans="1:8" x14ac:dyDescent="0.5">
      <c r="A168" s="5">
        <v>180</v>
      </c>
      <c r="B168" s="3">
        <v>44447</v>
      </c>
      <c r="C168" s="5" t="s">
        <v>15</v>
      </c>
      <c r="D168" s="5" t="s">
        <v>12</v>
      </c>
      <c r="E168" s="5" t="s">
        <v>10</v>
      </c>
      <c r="F168" s="6">
        <v>2</v>
      </c>
      <c r="G168" s="6">
        <v>2100</v>
      </c>
      <c r="H168" s="6">
        <f t="shared" si="2"/>
        <v>4200</v>
      </c>
    </row>
    <row r="169" spans="1:8" x14ac:dyDescent="0.5">
      <c r="A169" s="5">
        <v>181</v>
      </c>
      <c r="B169" s="3">
        <v>44449</v>
      </c>
      <c r="C169" s="5" t="s">
        <v>15</v>
      </c>
      <c r="D169" s="5" t="s">
        <v>9</v>
      </c>
      <c r="E169" s="5" t="s">
        <v>21</v>
      </c>
      <c r="F169" s="6">
        <v>5</v>
      </c>
      <c r="G169" s="6">
        <v>300</v>
      </c>
      <c r="H169" s="6">
        <f t="shared" si="2"/>
        <v>1500</v>
      </c>
    </row>
    <row r="170" spans="1:8" x14ac:dyDescent="0.5">
      <c r="A170" s="5">
        <v>182</v>
      </c>
      <c r="B170" s="3">
        <v>44476</v>
      </c>
      <c r="C170" s="5" t="s">
        <v>15</v>
      </c>
      <c r="D170" s="5" t="s">
        <v>9</v>
      </c>
      <c r="E170" s="5" t="s">
        <v>22</v>
      </c>
      <c r="F170" s="6">
        <v>7</v>
      </c>
      <c r="G170" s="6">
        <v>210</v>
      </c>
      <c r="H170" s="6">
        <f t="shared" si="2"/>
        <v>1470</v>
      </c>
    </row>
    <row r="171" spans="1:8" x14ac:dyDescent="0.5">
      <c r="A171" s="5">
        <v>183</v>
      </c>
      <c r="B171" s="3">
        <v>44490</v>
      </c>
      <c r="C171" s="5" t="s">
        <v>15</v>
      </c>
      <c r="D171" s="5" t="s">
        <v>9</v>
      </c>
      <c r="E171" s="5" t="s">
        <v>22</v>
      </c>
      <c r="F171" s="6">
        <v>7</v>
      </c>
      <c r="G171" s="6">
        <v>210</v>
      </c>
      <c r="H171" s="6">
        <f t="shared" si="2"/>
        <v>1470</v>
      </c>
    </row>
    <row r="172" spans="1:8" x14ac:dyDescent="0.5">
      <c r="A172" s="5">
        <v>184</v>
      </c>
      <c r="B172" s="3">
        <v>44502</v>
      </c>
      <c r="C172" s="5" t="s">
        <v>15</v>
      </c>
      <c r="D172" s="5" t="s">
        <v>12</v>
      </c>
      <c r="E172" s="5" t="s">
        <v>21</v>
      </c>
      <c r="F172" s="6">
        <v>4</v>
      </c>
      <c r="G172" s="6">
        <v>300</v>
      </c>
      <c r="H172" s="6">
        <f t="shared" si="2"/>
        <v>1200</v>
      </c>
    </row>
    <row r="173" spans="1:8" x14ac:dyDescent="0.5">
      <c r="A173" s="5">
        <v>185</v>
      </c>
      <c r="B173" s="3">
        <v>44515</v>
      </c>
      <c r="C173" s="5" t="s">
        <v>15</v>
      </c>
      <c r="D173" s="5" t="s">
        <v>14</v>
      </c>
      <c r="E173" s="5" t="s">
        <v>21</v>
      </c>
      <c r="F173" s="6">
        <v>4</v>
      </c>
      <c r="G173" s="6">
        <v>300</v>
      </c>
      <c r="H173" s="6">
        <f t="shared" si="2"/>
        <v>1200</v>
      </c>
    </row>
    <row r="174" spans="1:8" x14ac:dyDescent="0.5">
      <c r="A174" s="5">
        <v>186</v>
      </c>
      <c r="B174" s="3">
        <v>44524</v>
      </c>
      <c r="C174" s="5" t="s">
        <v>15</v>
      </c>
      <c r="D174" s="5" t="s">
        <v>9</v>
      </c>
      <c r="E174" s="5" t="s">
        <v>21</v>
      </c>
      <c r="F174" s="6">
        <v>4</v>
      </c>
      <c r="G174" s="6">
        <v>300</v>
      </c>
      <c r="H174" s="6">
        <f t="shared" si="2"/>
        <v>1200</v>
      </c>
    </row>
    <row r="175" spans="1:8" x14ac:dyDescent="0.5">
      <c r="A175" s="5">
        <v>187</v>
      </c>
      <c r="B175" s="3">
        <v>44551</v>
      </c>
      <c r="C175" s="5" t="s">
        <v>15</v>
      </c>
      <c r="D175" s="5" t="s">
        <v>14</v>
      </c>
      <c r="E175" s="5" t="s">
        <v>21</v>
      </c>
      <c r="F175" s="6">
        <v>3</v>
      </c>
      <c r="G175" s="6">
        <v>300</v>
      </c>
      <c r="H175" s="6">
        <f t="shared" si="2"/>
        <v>900</v>
      </c>
    </row>
    <row r="176" spans="1:8" x14ac:dyDescent="0.5">
      <c r="A176" s="5">
        <v>188</v>
      </c>
      <c r="B176" s="3">
        <v>44553</v>
      </c>
      <c r="C176" s="5" t="s">
        <v>15</v>
      </c>
      <c r="D176" s="5" t="s">
        <v>9</v>
      </c>
      <c r="E176" s="5" t="s">
        <v>21</v>
      </c>
      <c r="F176" s="6">
        <v>3</v>
      </c>
      <c r="G176" s="6">
        <v>300</v>
      </c>
      <c r="H176" s="6">
        <f t="shared" si="2"/>
        <v>900</v>
      </c>
    </row>
    <row r="177" spans="1:8" x14ac:dyDescent="0.5">
      <c r="A177" s="5">
        <v>189</v>
      </c>
      <c r="B177" s="3">
        <v>44560</v>
      </c>
      <c r="C177" s="5" t="s">
        <v>15</v>
      </c>
      <c r="D177" s="5" t="s">
        <v>14</v>
      </c>
      <c r="E177" s="5" t="s">
        <v>21</v>
      </c>
      <c r="F177" s="6">
        <v>3</v>
      </c>
      <c r="G177" s="6">
        <v>300</v>
      </c>
      <c r="H177" s="6">
        <f t="shared" si="2"/>
        <v>900</v>
      </c>
    </row>
    <row r="178" spans="1:8" x14ac:dyDescent="0.5">
      <c r="A178" s="5">
        <v>190</v>
      </c>
      <c r="B178" s="3">
        <v>44572</v>
      </c>
      <c r="C178" s="5" t="s">
        <v>15</v>
      </c>
      <c r="D178" s="5" t="s">
        <v>9</v>
      </c>
      <c r="E178" s="5" t="s">
        <v>21</v>
      </c>
      <c r="F178" s="6">
        <v>3</v>
      </c>
      <c r="G178" s="6">
        <v>300</v>
      </c>
      <c r="H178" s="6">
        <f t="shared" si="2"/>
        <v>900</v>
      </c>
    </row>
    <row r="179" spans="1:8" x14ac:dyDescent="0.5">
      <c r="A179" s="5">
        <v>191</v>
      </c>
      <c r="B179" s="3">
        <v>44587</v>
      </c>
      <c r="C179" s="5" t="s">
        <v>15</v>
      </c>
      <c r="D179" s="5" t="s">
        <v>9</v>
      </c>
      <c r="E179" s="5" t="s">
        <v>22</v>
      </c>
      <c r="F179" s="6">
        <v>3</v>
      </c>
      <c r="G179" s="6">
        <v>190</v>
      </c>
      <c r="H179" s="6">
        <f t="shared" si="2"/>
        <v>570</v>
      </c>
    </row>
    <row r="180" spans="1:8" x14ac:dyDescent="0.5">
      <c r="A180" s="5">
        <v>192</v>
      </c>
      <c r="B180" s="3">
        <v>44592</v>
      </c>
      <c r="C180" s="5" t="s">
        <v>15</v>
      </c>
      <c r="D180" s="5" t="s">
        <v>9</v>
      </c>
      <c r="E180" s="5" t="s">
        <v>22</v>
      </c>
      <c r="F180" s="6">
        <v>3</v>
      </c>
      <c r="G180" s="6">
        <v>190</v>
      </c>
      <c r="H180" s="6">
        <f t="shared" si="2"/>
        <v>570</v>
      </c>
    </row>
    <row r="181" spans="1:8" x14ac:dyDescent="0.5">
      <c r="A181" s="5">
        <v>193</v>
      </c>
      <c r="B181" s="3">
        <v>44607</v>
      </c>
      <c r="C181" s="5" t="s">
        <v>15</v>
      </c>
      <c r="D181" s="5" t="s">
        <v>9</v>
      </c>
      <c r="E181" s="5" t="s">
        <v>23</v>
      </c>
      <c r="F181" s="6">
        <v>3</v>
      </c>
      <c r="G181" s="6">
        <v>190</v>
      </c>
      <c r="H181" s="6">
        <f t="shared" si="2"/>
        <v>570</v>
      </c>
    </row>
    <row r="182" spans="1:8" x14ac:dyDescent="0.5">
      <c r="A182" s="5">
        <v>194</v>
      </c>
      <c r="B182" s="3">
        <v>44610</v>
      </c>
      <c r="C182" s="5" t="s">
        <v>15</v>
      </c>
      <c r="D182" s="5" t="s">
        <v>9</v>
      </c>
      <c r="E182" s="5" t="s">
        <v>23</v>
      </c>
      <c r="F182" s="6">
        <v>3</v>
      </c>
      <c r="G182" s="6">
        <v>190</v>
      </c>
      <c r="H182" s="6">
        <f t="shared" si="2"/>
        <v>570</v>
      </c>
    </row>
    <row r="183" spans="1:8" x14ac:dyDescent="0.5">
      <c r="A183" s="5">
        <v>195</v>
      </c>
      <c r="B183" s="3">
        <v>44624</v>
      </c>
      <c r="C183" s="5" t="s">
        <v>15</v>
      </c>
      <c r="D183" s="5" t="s">
        <v>12</v>
      </c>
      <c r="E183" s="5" t="s">
        <v>22</v>
      </c>
      <c r="F183" s="6">
        <v>2</v>
      </c>
      <c r="G183" s="6">
        <v>210</v>
      </c>
      <c r="H183" s="6">
        <f t="shared" si="2"/>
        <v>420</v>
      </c>
    </row>
    <row r="184" spans="1:8" x14ac:dyDescent="0.5">
      <c r="A184" s="5">
        <v>196</v>
      </c>
      <c r="B184" s="3">
        <v>44645</v>
      </c>
      <c r="C184" s="5" t="s">
        <v>15</v>
      </c>
      <c r="D184" s="5" t="s">
        <v>9</v>
      </c>
      <c r="E184" s="5" t="s">
        <v>22</v>
      </c>
      <c r="F184" s="6">
        <v>2</v>
      </c>
      <c r="G184" s="6">
        <v>210</v>
      </c>
      <c r="H184" s="6">
        <f t="shared" si="2"/>
        <v>420</v>
      </c>
    </row>
    <row r="185" spans="1:8" x14ac:dyDescent="0.5">
      <c r="A185" s="5">
        <v>197</v>
      </c>
      <c r="B185" s="3">
        <v>44648</v>
      </c>
      <c r="C185" s="5" t="s">
        <v>15</v>
      </c>
      <c r="D185" s="5" t="s">
        <v>9</v>
      </c>
      <c r="E185" s="5" t="s">
        <v>22</v>
      </c>
      <c r="F185" s="6">
        <v>2</v>
      </c>
      <c r="G185" s="6">
        <v>210</v>
      </c>
      <c r="H185" s="6">
        <f t="shared" si="2"/>
        <v>420</v>
      </c>
    </row>
    <row r="186" spans="1:8" x14ac:dyDescent="0.5">
      <c r="A186" s="5">
        <v>198</v>
      </c>
      <c r="B186" s="3">
        <v>44665</v>
      </c>
      <c r="C186" s="5" t="s">
        <v>15</v>
      </c>
      <c r="D186" s="5" t="s">
        <v>9</v>
      </c>
      <c r="E186" s="5" t="s">
        <v>22</v>
      </c>
      <c r="F186" s="6">
        <v>2</v>
      </c>
      <c r="G186" s="6">
        <v>210</v>
      </c>
      <c r="H186" s="6">
        <f t="shared" si="2"/>
        <v>420</v>
      </c>
    </row>
    <row r="187" spans="1:8" x14ac:dyDescent="0.5">
      <c r="A187" s="5">
        <v>199</v>
      </c>
      <c r="B187" s="3">
        <v>44713</v>
      </c>
      <c r="C187" s="5" t="s">
        <v>15</v>
      </c>
      <c r="D187" s="5" t="s">
        <v>14</v>
      </c>
      <c r="E187" s="5" t="s">
        <v>23</v>
      </c>
      <c r="F187" s="6">
        <v>2</v>
      </c>
      <c r="G187" s="6">
        <v>190</v>
      </c>
      <c r="H187" s="6">
        <f t="shared" si="2"/>
        <v>380</v>
      </c>
    </row>
    <row r="188" spans="1:8" x14ac:dyDescent="0.5">
      <c r="A188" s="5">
        <v>200</v>
      </c>
      <c r="B188" s="3">
        <v>44211</v>
      </c>
      <c r="C188" s="5" t="s">
        <v>11</v>
      </c>
      <c r="D188" s="5" t="s">
        <v>12</v>
      </c>
      <c r="E188" s="5" t="s">
        <v>10</v>
      </c>
      <c r="F188" s="6">
        <v>7</v>
      </c>
      <c r="G188" s="6">
        <v>2100</v>
      </c>
      <c r="H188" s="6">
        <f t="shared" si="2"/>
        <v>14700</v>
      </c>
    </row>
    <row r="189" spans="1:8" x14ac:dyDescent="0.5">
      <c r="A189" s="5">
        <v>201</v>
      </c>
      <c r="B189" s="3">
        <v>44214</v>
      </c>
      <c r="C189" s="5" t="s">
        <v>11</v>
      </c>
      <c r="D189" s="5" t="s">
        <v>13</v>
      </c>
      <c r="E189" s="5" t="s">
        <v>10</v>
      </c>
      <c r="F189" s="6">
        <v>7</v>
      </c>
      <c r="G189" s="6">
        <v>2100</v>
      </c>
      <c r="H189" s="6">
        <f t="shared" si="2"/>
        <v>14700</v>
      </c>
    </row>
    <row r="190" spans="1:8" x14ac:dyDescent="0.5">
      <c r="A190" s="5">
        <v>202</v>
      </c>
      <c r="B190" s="3">
        <v>44215</v>
      </c>
      <c r="C190" s="5" t="s">
        <v>11</v>
      </c>
      <c r="D190" s="5" t="s">
        <v>14</v>
      </c>
      <c r="E190" s="5" t="s">
        <v>10</v>
      </c>
      <c r="F190" s="6">
        <v>7</v>
      </c>
      <c r="G190" s="6">
        <v>2100</v>
      </c>
      <c r="H190" s="6">
        <f t="shared" si="2"/>
        <v>14700</v>
      </c>
    </row>
    <row r="191" spans="1:8" x14ac:dyDescent="0.5">
      <c r="A191" s="5">
        <v>203</v>
      </c>
      <c r="B191" s="3">
        <v>44231</v>
      </c>
      <c r="C191" s="5" t="s">
        <v>11</v>
      </c>
      <c r="D191" s="5" t="s">
        <v>12</v>
      </c>
      <c r="E191" s="5" t="s">
        <v>10</v>
      </c>
      <c r="F191" s="6">
        <v>7</v>
      </c>
      <c r="G191" s="6">
        <v>2100</v>
      </c>
      <c r="H191" s="6">
        <f t="shared" si="2"/>
        <v>14700</v>
      </c>
    </row>
    <row r="192" spans="1:8" x14ac:dyDescent="0.5">
      <c r="A192" s="5">
        <v>204</v>
      </c>
      <c r="B192" s="3">
        <v>44239</v>
      </c>
      <c r="C192" s="5" t="s">
        <v>11</v>
      </c>
      <c r="D192" s="5" t="s">
        <v>13</v>
      </c>
      <c r="E192" s="5" t="s">
        <v>10</v>
      </c>
      <c r="F192" s="6">
        <v>7</v>
      </c>
      <c r="G192" s="6">
        <v>2100</v>
      </c>
      <c r="H192" s="6">
        <f t="shared" si="2"/>
        <v>14700</v>
      </c>
    </row>
    <row r="193" spans="1:8" x14ac:dyDescent="0.5">
      <c r="A193" s="5">
        <v>205</v>
      </c>
      <c r="B193" s="3">
        <v>44250</v>
      </c>
      <c r="C193" s="5" t="s">
        <v>11</v>
      </c>
      <c r="D193" s="5" t="s">
        <v>12</v>
      </c>
      <c r="E193" s="5" t="s">
        <v>10</v>
      </c>
      <c r="F193" s="6">
        <v>7</v>
      </c>
      <c r="G193" s="6">
        <v>2100</v>
      </c>
      <c r="H193" s="6">
        <f t="shared" si="2"/>
        <v>14700</v>
      </c>
    </row>
    <row r="194" spans="1:8" x14ac:dyDescent="0.5">
      <c r="A194" s="5">
        <v>206</v>
      </c>
      <c r="B194" s="3">
        <v>44263</v>
      </c>
      <c r="C194" s="5" t="s">
        <v>11</v>
      </c>
      <c r="D194" s="5" t="s">
        <v>12</v>
      </c>
      <c r="E194" s="5" t="s">
        <v>19</v>
      </c>
      <c r="F194" s="6">
        <v>7</v>
      </c>
      <c r="G194" s="6">
        <v>2100</v>
      </c>
      <c r="H194" s="6">
        <f t="shared" ref="H194:H257" si="3">F194*G194</f>
        <v>14700</v>
      </c>
    </row>
    <row r="195" spans="1:8" x14ac:dyDescent="0.5">
      <c r="A195" s="5">
        <v>207</v>
      </c>
      <c r="B195" s="3">
        <v>44266</v>
      </c>
      <c r="C195" s="5" t="s">
        <v>11</v>
      </c>
      <c r="D195" s="5" t="s">
        <v>12</v>
      </c>
      <c r="E195" s="5" t="s">
        <v>19</v>
      </c>
      <c r="F195" s="6">
        <v>7</v>
      </c>
      <c r="G195" s="6">
        <v>2100</v>
      </c>
      <c r="H195" s="6">
        <f t="shared" si="3"/>
        <v>14700</v>
      </c>
    </row>
    <row r="196" spans="1:8" x14ac:dyDescent="0.5">
      <c r="A196" s="5">
        <v>208</v>
      </c>
      <c r="B196" s="3">
        <v>44267</v>
      </c>
      <c r="C196" s="5" t="s">
        <v>11</v>
      </c>
      <c r="D196" s="5" t="s">
        <v>12</v>
      </c>
      <c r="E196" s="5" t="s">
        <v>10</v>
      </c>
      <c r="F196" s="6">
        <v>6</v>
      </c>
      <c r="G196" s="6">
        <v>2100</v>
      </c>
      <c r="H196" s="6">
        <f t="shared" si="3"/>
        <v>12600</v>
      </c>
    </row>
    <row r="197" spans="1:8" x14ac:dyDescent="0.5">
      <c r="A197" s="5">
        <v>209</v>
      </c>
      <c r="B197" s="3">
        <v>44270</v>
      </c>
      <c r="C197" s="5" t="s">
        <v>11</v>
      </c>
      <c r="D197" s="5" t="s">
        <v>12</v>
      </c>
      <c r="E197" s="5" t="s">
        <v>10</v>
      </c>
      <c r="F197" s="6">
        <v>6</v>
      </c>
      <c r="G197" s="6">
        <v>2100</v>
      </c>
      <c r="H197" s="6">
        <f t="shared" si="3"/>
        <v>12600</v>
      </c>
    </row>
    <row r="198" spans="1:8" x14ac:dyDescent="0.5">
      <c r="A198" s="5">
        <v>210</v>
      </c>
      <c r="B198" s="3">
        <v>44288</v>
      </c>
      <c r="C198" s="5" t="s">
        <v>11</v>
      </c>
      <c r="D198" s="5" t="s">
        <v>9</v>
      </c>
      <c r="E198" s="5" t="s">
        <v>10</v>
      </c>
      <c r="F198" s="6">
        <v>6</v>
      </c>
      <c r="G198" s="6">
        <v>2100</v>
      </c>
      <c r="H198" s="6">
        <f t="shared" si="3"/>
        <v>12600</v>
      </c>
    </row>
    <row r="199" spans="1:8" x14ac:dyDescent="0.5">
      <c r="A199" s="5">
        <v>211</v>
      </c>
      <c r="B199" s="3">
        <v>44294</v>
      </c>
      <c r="C199" s="5" t="s">
        <v>11</v>
      </c>
      <c r="D199" s="5" t="s">
        <v>14</v>
      </c>
      <c r="E199" s="5" t="s">
        <v>10</v>
      </c>
      <c r="F199" s="6">
        <v>6</v>
      </c>
      <c r="G199" s="6">
        <v>2100</v>
      </c>
      <c r="H199" s="6">
        <f t="shared" si="3"/>
        <v>12600</v>
      </c>
    </row>
    <row r="200" spans="1:8" x14ac:dyDescent="0.5">
      <c r="A200" s="5">
        <v>212</v>
      </c>
      <c r="B200" s="3">
        <v>44302</v>
      </c>
      <c r="C200" s="5" t="s">
        <v>11</v>
      </c>
      <c r="D200" s="5" t="s">
        <v>12</v>
      </c>
      <c r="E200" s="5" t="s">
        <v>10</v>
      </c>
      <c r="F200" s="6">
        <v>6</v>
      </c>
      <c r="G200" s="6">
        <v>2100</v>
      </c>
      <c r="H200" s="6">
        <f t="shared" si="3"/>
        <v>12600</v>
      </c>
    </row>
    <row r="201" spans="1:8" x14ac:dyDescent="0.5">
      <c r="A201" s="5">
        <v>213</v>
      </c>
      <c r="B201" s="3">
        <v>44305</v>
      </c>
      <c r="C201" s="5" t="s">
        <v>11</v>
      </c>
      <c r="D201" s="5" t="s">
        <v>9</v>
      </c>
      <c r="E201" s="5" t="s">
        <v>10</v>
      </c>
      <c r="F201" s="6">
        <v>6</v>
      </c>
      <c r="G201" s="6">
        <v>2100</v>
      </c>
      <c r="H201" s="6">
        <f t="shared" si="3"/>
        <v>12600</v>
      </c>
    </row>
    <row r="202" spans="1:8" x14ac:dyDescent="0.5">
      <c r="A202" s="5">
        <v>214</v>
      </c>
      <c r="B202" s="3">
        <v>44306</v>
      </c>
      <c r="C202" s="5" t="s">
        <v>11</v>
      </c>
      <c r="D202" s="5" t="s">
        <v>13</v>
      </c>
      <c r="E202" s="5" t="s">
        <v>10</v>
      </c>
      <c r="F202" s="6">
        <v>6</v>
      </c>
      <c r="G202" s="6">
        <v>2100</v>
      </c>
      <c r="H202" s="6">
        <f t="shared" si="3"/>
        <v>12600</v>
      </c>
    </row>
    <row r="203" spans="1:8" x14ac:dyDescent="0.5">
      <c r="A203" s="5">
        <v>215</v>
      </c>
      <c r="B203" s="3">
        <v>44307</v>
      </c>
      <c r="C203" s="5" t="s">
        <v>11</v>
      </c>
      <c r="D203" s="5" t="s">
        <v>14</v>
      </c>
      <c r="E203" s="5" t="s">
        <v>10</v>
      </c>
      <c r="F203" s="6">
        <v>6</v>
      </c>
      <c r="G203" s="6">
        <v>2100</v>
      </c>
      <c r="H203" s="6">
        <f t="shared" si="3"/>
        <v>12600</v>
      </c>
    </row>
    <row r="204" spans="1:8" x14ac:dyDescent="0.5">
      <c r="A204" s="5">
        <v>216</v>
      </c>
      <c r="B204" s="3">
        <v>44308</v>
      </c>
      <c r="C204" s="5" t="s">
        <v>11</v>
      </c>
      <c r="D204" s="5" t="s">
        <v>12</v>
      </c>
      <c r="E204" s="5" t="s">
        <v>10</v>
      </c>
      <c r="F204" s="6">
        <v>6</v>
      </c>
      <c r="G204" s="6">
        <v>2100</v>
      </c>
      <c r="H204" s="6">
        <f t="shared" si="3"/>
        <v>12600</v>
      </c>
    </row>
    <row r="205" spans="1:8" x14ac:dyDescent="0.5">
      <c r="A205" s="5">
        <v>217</v>
      </c>
      <c r="B205" s="3">
        <v>44309</v>
      </c>
      <c r="C205" s="5" t="s">
        <v>11</v>
      </c>
      <c r="D205" s="5" t="s">
        <v>9</v>
      </c>
      <c r="E205" s="5" t="s">
        <v>10</v>
      </c>
      <c r="F205" s="6">
        <v>6</v>
      </c>
      <c r="G205" s="6">
        <v>2100</v>
      </c>
      <c r="H205" s="6">
        <f t="shared" si="3"/>
        <v>12600</v>
      </c>
    </row>
    <row r="206" spans="1:8" x14ac:dyDescent="0.5">
      <c r="A206" s="5">
        <v>218</v>
      </c>
      <c r="B206" s="3">
        <v>44314</v>
      </c>
      <c r="C206" s="5" t="s">
        <v>11</v>
      </c>
      <c r="D206" s="5" t="s">
        <v>12</v>
      </c>
      <c r="E206" s="5" t="s">
        <v>20</v>
      </c>
      <c r="F206" s="6">
        <v>5</v>
      </c>
      <c r="G206" s="6">
        <v>1500</v>
      </c>
      <c r="H206" s="6">
        <f t="shared" si="3"/>
        <v>7500</v>
      </c>
    </row>
    <row r="207" spans="1:8" x14ac:dyDescent="0.5">
      <c r="A207" s="5">
        <v>219</v>
      </c>
      <c r="B207" s="3">
        <v>44323</v>
      </c>
      <c r="C207" s="5" t="s">
        <v>11</v>
      </c>
      <c r="D207" s="5" t="s">
        <v>12</v>
      </c>
      <c r="E207" s="5" t="s">
        <v>20</v>
      </c>
      <c r="F207" s="6">
        <v>5</v>
      </c>
      <c r="G207" s="6">
        <v>1500</v>
      </c>
      <c r="H207" s="6">
        <f t="shared" si="3"/>
        <v>7500</v>
      </c>
    </row>
    <row r="208" spans="1:8" x14ac:dyDescent="0.5">
      <c r="A208" s="5">
        <v>220</v>
      </c>
      <c r="B208" s="3">
        <v>44327</v>
      </c>
      <c r="C208" s="5" t="s">
        <v>11</v>
      </c>
      <c r="D208" s="5" t="s">
        <v>12</v>
      </c>
      <c r="E208" s="5" t="s">
        <v>20</v>
      </c>
      <c r="F208" s="6">
        <v>5</v>
      </c>
      <c r="G208" s="6">
        <v>1500</v>
      </c>
      <c r="H208" s="6">
        <f t="shared" si="3"/>
        <v>7500</v>
      </c>
    </row>
    <row r="209" spans="1:8" x14ac:dyDescent="0.5">
      <c r="A209" s="5">
        <v>221</v>
      </c>
      <c r="B209" s="3">
        <v>44335</v>
      </c>
      <c r="C209" s="5" t="s">
        <v>11</v>
      </c>
      <c r="D209" s="5" t="s">
        <v>14</v>
      </c>
      <c r="E209" s="5" t="s">
        <v>20</v>
      </c>
      <c r="F209" s="6">
        <v>5</v>
      </c>
      <c r="G209" s="6">
        <v>1500</v>
      </c>
      <c r="H209" s="6">
        <f t="shared" si="3"/>
        <v>7500</v>
      </c>
    </row>
    <row r="210" spans="1:8" x14ac:dyDescent="0.5">
      <c r="A210" s="5">
        <v>222</v>
      </c>
      <c r="B210" s="3">
        <v>44336</v>
      </c>
      <c r="C210" s="5" t="s">
        <v>11</v>
      </c>
      <c r="D210" s="5" t="s">
        <v>12</v>
      </c>
      <c r="E210" s="5" t="s">
        <v>20</v>
      </c>
      <c r="F210" s="6">
        <v>6</v>
      </c>
      <c r="G210" s="6">
        <v>1200</v>
      </c>
      <c r="H210" s="6">
        <f t="shared" si="3"/>
        <v>7200</v>
      </c>
    </row>
    <row r="211" spans="1:8" x14ac:dyDescent="0.5">
      <c r="A211" s="5">
        <v>223</v>
      </c>
      <c r="B211" s="3">
        <v>44344</v>
      </c>
      <c r="C211" s="5" t="s">
        <v>11</v>
      </c>
      <c r="D211" s="5" t="s">
        <v>9</v>
      </c>
      <c r="E211" s="5" t="s">
        <v>19</v>
      </c>
      <c r="F211" s="6">
        <v>6</v>
      </c>
      <c r="G211" s="6">
        <v>1200</v>
      </c>
      <c r="H211" s="6">
        <f t="shared" si="3"/>
        <v>7200</v>
      </c>
    </row>
    <row r="212" spans="1:8" x14ac:dyDescent="0.5">
      <c r="A212" s="5">
        <v>224</v>
      </c>
      <c r="B212" s="3">
        <v>44347</v>
      </c>
      <c r="C212" s="5" t="s">
        <v>11</v>
      </c>
      <c r="D212" s="5" t="s">
        <v>9</v>
      </c>
      <c r="E212" s="5" t="s">
        <v>19</v>
      </c>
      <c r="F212" s="6">
        <v>6</v>
      </c>
      <c r="G212" s="6">
        <v>1200</v>
      </c>
      <c r="H212" s="6">
        <f t="shared" si="3"/>
        <v>7200</v>
      </c>
    </row>
    <row r="213" spans="1:8" x14ac:dyDescent="0.5">
      <c r="A213" s="5">
        <v>225</v>
      </c>
      <c r="B213" s="3">
        <v>44358</v>
      </c>
      <c r="C213" s="5" t="s">
        <v>11</v>
      </c>
      <c r="D213" s="5" t="s">
        <v>14</v>
      </c>
      <c r="E213" s="5" t="s">
        <v>19</v>
      </c>
      <c r="F213" s="6">
        <v>6</v>
      </c>
      <c r="G213" s="6">
        <v>1200</v>
      </c>
      <c r="H213" s="6">
        <f t="shared" si="3"/>
        <v>7200</v>
      </c>
    </row>
    <row r="214" spans="1:8" x14ac:dyDescent="0.5">
      <c r="A214" s="5">
        <v>226</v>
      </c>
      <c r="B214" s="3">
        <v>44363</v>
      </c>
      <c r="C214" s="5" t="s">
        <v>11</v>
      </c>
      <c r="D214" s="5" t="s">
        <v>13</v>
      </c>
      <c r="E214" s="5" t="s">
        <v>19</v>
      </c>
      <c r="F214" s="6">
        <v>6</v>
      </c>
      <c r="G214" s="6">
        <v>1200</v>
      </c>
      <c r="H214" s="6">
        <f t="shared" si="3"/>
        <v>7200</v>
      </c>
    </row>
    <row r="215" spans="1:8" x14ac:dyDescent="0.5">
      <c r="A215" s="5">
        <v>227</v>
      </c>
      <c r="B215" s="3">
        <v>44372</v>
      </c>
      <c r="C215" s="5" t="s">
        <v>11</v>
      </c>
      <c r="D215" s="5" t="s">
        <v>12</v>
      </c>
      <c r="E215" s="5" t="s">
        <v>20</v>
      </c>
      <c r="F215" s="6">
        <v>4</v>
      </c>
      <c r="G215" s="6">
        <v>1500</v>
      </c>
      <c r="H215" s="6">
        <f t="shared" si="3"/>
        <v>6000</v>
      </c>
    </row>
    <row r="216" spans="1:8" x14ac:dyDescent="0.5">
      <c r="A216" s="5">
        <v>228</v>
      </c>
      <c r="B216" s="3">
        <v>44379</v>
      </c>
      <c r="C216" s="5" t="s">
        <v>11</v>
      </c>
      <c r="D216" s="5" t="s">
        <v>14</v>
      </c>
      <c r="E216" s="5" t="s">
        <v>20</v>
      </c>
      <c r="F216" s="6">
        <v>4</v>
      </c>
      <c r="G216" s="6">
        <v>1500</v>
      </c>
      <c r="H216" s="6">
        <f t="shared" si="3"/>
        <v>6000</v>
      </c>
    </row>
    <row r="217" spans="1:8" x14ac:dyDescent="0.5">
      <c r="A217" s="5">
        <v>229</v>
      </c>
      <c r="B217" s="3">
        <v>44389</v>
      </c>
      <c r="C217" s="5" t="s">
        <v>11</v>
      </c>
      <c r="D217" s="5" t="s">
        <v>9</v>
      </c>
      <c r="E217" s="5" t="s">
        <v>20</v>
      </c>
      <c r="F217" s="6">
        <v>4</v>
      </c>
      <c r="G217" s="6">
        <v>1500</v>
      </c>
      <c r="H217" s="6">
        <f t="shared" si="3"/>
        <v>6000</v>
      </c>
    </row>
    <row r="218" spans="1:8" x14ac:dyDescent="0.5">
      <c r="A218" s="5">
        <v>230</v>
      </c>
      <c r="B218" s="3">
        <v>44397</v>
      </c>
      <c r="C218" s="5" t="s">
        <v>11</v>
      </c>
      <c r="D218" s="5" t="s">
        <v>9</v>
      </c>
      <c r="E218" s="5" t="s">
        <v>20</v>
      </c>
      <c r="F218" s="6">
        <v>4</v>
      </c>
      <c r="G218" s="6">
        <v>1500</v>
      </c>
      <c r="H218" s="6">
        <f t="shared" si="3"/>
        <v>6000</v>
      </c>
    </row>
    <row r="219" spans="1:8" x14ac:dyDescent="0.5">
      <c r="A219" s="5">
        <v>231</v>
      </c>
      <c r="B219" s="3">
        <v>44418</v>
      </c>
      <c r="C219" s="5" t="s">
        <v>11</v>
      </c>
      <c r="D219" s="5" t="s">
        <v>12</v>
      </c>
      <c r="E219" s="5" t="s">
        <v>19</v>
      </c>
      <c r="F219" s="6">
        <v>5</v>
      </c>
      <c r="G219" s="6">
        <v>1200</v>
      </c>
      <c r="H219" s="6">
        <f t="shared" si="3"/>
        <v>6000</v>
      </c>
    </row>
    <row r="220" spans="1:8" x14ac:dyDescent="0.5">
      <c r="A220" s="5">
        <v>232</v>
      </c>
      <c r="B220" s="3">
        <v>44427</v>
      </c>
      <c r="C220" s="5" t="s">
        <v>11</v>
      </c>
      <c r="D220" s="5" t="s">
        <v>13</v>
      </c>
      <c r="E220" s="5" t="s">
        <v>19</v>
      </c>
      <c r="F220" s="6">
        <v>5</v>
      </c>
      <c r="G220" s="6">
        <v>1200</v>
      </c>
      <c r="H220" s="6">
        <f t="shared" si="3"/>
        <v>6000</v>
      </c>
    </row>
    <row r="221" spans="1:8" x14ac:dyDescent="0.5">
      <c r="A221" s="5">
        <v>233</v>
      </c>
      <c r="B221" s="3">
        <v>44433</v>
      </c>
      <c r="C221" s="5" t="s">
        <v>11</v>
      </c>
      <c r="D221" s="5" t="s">
        <v>12</v>
      </c>
      <c r="E221" s="5" t="s">
        <v>19</v>
      </c>
      <c r="F221" s="6">
        <v>5</v>
      </c>
      <c r="G221" s="6">
        <v>1200</v>
      </c>
      <c r="H221" s="6">
        <f t="shared" si="3"/>
        <v>6000</v>
      </c>
    </row>
    <row r="222" spans="1:8" x14ac:dyDescent="0.5">
      <c r="A222" s="5">
        <v>234</v>
      </c>
      <c r="B222" s="3">
        <v>44446</v>
      </c>
      <c r="C222" s="5" t="s">
        <v>11</v>
      </c>
      <c r="D222" s="5" t="s">
        <v>14</v>
      </c>
      <c r="E222" s="5" t="s">
        <v>10</v>
      </c>
      <c r="F222" s="6">
        <v>2</v>
      </c>
      <c r="G222" s="6">
        <v>2100</v>
      </c>
      <c r="H222" s="6">
        <f t="shared" si="3"/>
        <v>4200</v>
      </c>
    </row>
    <row r="223" spans="1:8" x14ac:dyDescent="0.5">
      <c r="A223" s="5">
        <v>235</v>
      </c>
      <c r="B223" s="3">
        <v>44454</v>
      </c>
      <c r="C223" s="5" t="s">
        <v>11</v>
      </c>
      <c r="D223" s="5" t="s">
        <v>12</v>
      </c>
      <c r="E223" s="5" t="s">
        <v>21</v>
      </c>
      <c r="F223" s="6">
        <v>5</v>
      </c>
      <c r="G223" s="6">
        <v>300</v>
      </c>
      <c r="H223" s="6">
        <f t="shared" si="3"/>
        <v>1500</v>
      </c>
    </row>
    <row r="224" spans="1:8" x14ac:dyDescent="0.5">
      <c r="A224" s="5">
        <v>236</v>
      </c>
      <c r="B224" s="3">
        <v>44473</v>
      </c>
      <c r="C224" s="5" t="s">
        <v>11</v>
      </c>
      <c r="D224" s="5" t="s">
        <v>12</v>
      </c>
      <c r="E224" s="5" t="s">
        <v>22</v>
      </c>
      <c r="F224" s="6">
        <v>7</v>
      </c>
      <c r="G224" s="6">
        <v>210</v>
      </c>
      <c r="H224" s="6">
        <f t="shared" si="3"/>
        <v>1470</v>
      </c>
    </row>
    <row r="225" spans="1:8" x14ac:dyDescent="0.5">
      <c r="A225" s="5">
        <v>237</v>
      </c>
      <c r="B225" s="3">
        <v>44474</v>
      </c>
      <c r="C225" s="5" t="s">
        <v>11</v>
      </c>
      <c r="D225" s="5" t="s">
        <v>9</v>
      </c>
      <c r="E225" s="5" t="s">
        <v>22</v>
      </c>
      <c r="F225" s="6">
        <v>7</v>
      </c>
      <c r="G225" s="6">
        <v>210</v>
      </c>
      <c r="H225" s="6">
        <f t="shared" si="3"/>
        <v>1470</v>
      </c>
    </row>
    <row r="226" spans="1:8" x14ac:dyDescent="0.5">
      <c r="A226" s="5">
        <v>238</v>
      </c>
      <c r="B226" s="3">
        <v>44487</v>
      </c>
      <c r="C226" s="5" t="s">
        <v>11</v>
      </c>
      <c r="D226" s="5" t="s">
        <v>12</v>
      </c>
      <c r="E226" s="5" t="s">
        <v>22</v>
      </c>
      <c r="F226" s="6">
        <v>7</v>
      </c>
      <c r="G226" s="6">
        <v>210</v>
      </c>
      <c r="H226" s="6">
        <f t="shared" si="3"/>
        <v>1470</v>
      </c>
    </row>
    <row r="227" spans="1:8" x14ac:dyDescent="0.5">
      <c r="A227" s="5">
        <v>239</v>
      </c>
      <c r="B227" s="3">
        <v>44491</v>
      </c>
      <c r="C227" s="5" t="s">
        <v>11</v>
      </c>
      <c r="D227" s="5" t="s">
        <v>13</v>
      </c>
      <c r="E227" s="5" t="s">
        <v>22</v>
      </c>
      <c r="F227" s="6">
        <v>7</v>
      </c>
      <c r="G227" s="6">
        <v>210</v>
      </c>
      <c r="H227" s="6">
        <f t="shared" si="3"/>
        <v>1470</v>
      </c>
    </row>
    <row r="228" spans="1:8" x14ac:dyDescent="0.5">
      <c r="A228" s="5">
        <v>240</v>
      </c>
      <c r="B228" s="3">
        <v>44495</v>
      </c>
      <c r="C228" s="5" t="s">
        <v>11</v>
      </c>
      <c r="D228" s="5" t="s">
        <v>12</v>
      </c>
      <c r="E228" s="5" t="s">
        <v>22</v>
      </c>
      <c r="F228" s="6">
        <v>7</v>
      </c>
      <c r="G228" s="6">
        <v>210</v>
      </c>
      <c r="H228" s="6">
        <f t="shared" si="3"/>
        <v>1470</v>
      </c>
    </row>
    <row r="229" spans="1:8" x14ac:dyDescent="0.5">
      <c r="A229" s="5">
        <v>241</v>
      </c>
      <c r="B229" s="3">
        <v>44504</v>
      </c>
      <c r="C229" s="5" t="s">
        <v>11</v>
      </c>
      <c r="D229" s="5" t="s">
        <v>9</v>
      </c>
      <c r="E229" s="5" t="s">
        <v>21</v>
      </c>
      <c r="F229" s="6">
        <v>4</v>
      </c>
      <c r="G229" s="6">
        <v>300</v>
      </c>
      <c r="H229" s="6">
        <f t="shared" si="3"/>
        <v>1200</v>
      </c>
    </row>
    <row r="230" spans="1:8" x14ac:dyDescent="0.5">
      <c r="A230" s="5">
        <v>242</v>
      </c>
      <c r="B230" s="3">
        <v>44505</v>
      </c>
      <c r="C230" s="5" t="s">
        <v>11</v>
      </c>
      <c r="D230" s="5" t="s">
        <v>13</v>
      </c>
      <c r="E230" s="5" t="s">
        <v>21</v>
      </c>
      <c r="F230" s="6">
        <v>4</v>
      </c>
      <c r="G230" s="6">
        <v>300</v>
      </c>
      <c r="H230" s="6">
        <f t="shared" si="3"/>
        <v>1200</v>
      </c>
    </row>
    <row r="231" spans="1:8" x14ac:dyDescent="0.5">
      <c r="A231" s="5">
        <v>243</v>
      </c>
      <c r="B231" s="3">
        <v>44508</v>
      </c>
      <c r="C231" s="5" t="s">
        <v>11</v>
      </c>
      <c r="D231" s="5" t="s">
        <v>14</v>
      </c>
      <c r="E231" s="5" t="s">
        <v>21</v>
      </c>
      <c r="F231" s="6">
        <v>4</v>
      </c>
      <c r="G231" s="6">
        <v>300</v>
      </c>
      <c r="H231" s="6">
        <f t="shared" si="3"/>
        <v>1200</v>
      </c>
    </row>
    <row r="232" spans="1:8" x14ac:dyDescent="0.5">
      <c r="A232" s="5">
        <v>244</v>
      </c>
      <c r="B232" s="3">
        <v>44509</v>
      </c>
      <c r="C232" s="5" t="s">
        <v>11</v>
      </c>
      <c r="D232" s="5" t="s">
        <v>12</v>
      </c>
      <c r="E232" s="5" t="s">
        <v>21</v>
      </c>
      <c r="F232" s="6">
        <v>4</v>
      </c>
      <c r="G232" s="6">
        <v>300</v>
      </c>
      <c r="H232" s="6">
        <f t="shared" si="3"/>
        <v>1200</v>
      </c>
    </row>
    <row r="233" spans="1:8" x14ac:dyDescent="0.5">
      <c r="A233" s="5">
        <v>245</v>
      </c>
      <c r="B233" s="3">
        <v>44510</v>
      </c>
      <c r="C233" s="5" t="s">
        <v>11</v>
      </c>
      <c r="D233" s="5" t="s">
        <v>9</v>
      </c>
      <c r="E233" s="5" t="s">
        <v>21</v>
      </c>
      <c r="F233" s="6">
        <v>4</v>
      </c>
      <c r="G233" s="6">
        <v>300</v>
      </c>
      <c r="H233" s="6">
        <f t="shared" si="3"/>
        <v>1200</v>
      </c>
    </row>
    <row r="234" spans="1:8" x14ac:dyDescent="0.5">
      <c r="A234" s="5">
        <v>246</v>
      </c>
      <c r="B234" s="3">
        <v>44511</v>
      </c>
      <c r="C234" s="5" t="s">
        <v>11</v>
      </c>
      <c r="D234" s="5" t="s">
        <v>13</v>
      </c>
      <c r="E234" s="5" t="s">
        <v>21</v>
      </c>
      <c r="F234" s="6">
        <v>4</v>
      </c>
      <c r="G234" s="6">
        <v>300</v>
      </c>
      <c r="H234" s="6">
        <f t="shared" si="3"/>
        <v>1200</v>
      </c>
    </row>
    <row r="235" spans="1:8" x14ac:dyDescent="0.5">
      <c r="A235" s="5">
        <v>247</v>
      </c>
      <c r="B235" s="3">
        <v>44512</v>
      </c>
      <c r="C235" s="5" t="s">
        <v>11</v>
      </c>
      <c r="D235" s="5" t="s">
        <v>14</v>
      </c>
      <c r="E235" s="5" t="s">
        <v>21</v>
      </c>
      <c r="F235" s="6">
        <v>4</v>
      </c>
      <c r="G235" s="6">
        <v>300</v>
      </c>
      <c r="H235" s="6">
        <f t="shared" si="3"/>
        <v>1200</v>
      </c>
    </row>
    <row r="236" spans="1:8" x14ac:dyDescent="0.5">
      <c r="A236" s="5">
        <v>248</v>
      </c>
      <c r="B236" s="3">
        <v>44523</v>
      </c>
      <c r="C236" s="5" t="s">
        <v>11</v>
      </c>
      <c r="D236" s="5" t="s">
        <v>9</v>
      </c>
      <c r="E236" s="5" t="s">
        <v>21</v>
      </c>
      <c r="F236" s="6">
        <v>4</v>
      </c>
      <c r="G236" s="6">
        <v>300</v>
      </c>
      <c r="H236" s="6">
        <f t="shared" si="3"/>
        <v>1200</v>
      </c>
    </row>
    <row r="237" spans="1:8" x14ac:dyDescent="0.5">
      <c r="A237" s="5">
        <v>249</v>
      </c>
      <c r="B237" s="3">
        <v>44539</v>
      </c>
      <c r="C237" s="5" t="s">
        <v>11</v>
      </c>
      <c r="D237" s="5" t="s">
        <v>12</v>
      </c>
      <c r="E237" s="5" t="s">
        <v>21</v>
      </c>
      <c r="F237" s="6">
        <v>3</v>
      </c>
      <c r="G237" s="6">
        <v>300</v>
      </c>
      <c r="H237" s="6">
        <f t="shared" si="3"/>
        <v>900</v>
      </c>
    </row>
    <row r="238" spans="1:8" x14ac:dyDescent="0.5">
      <c r="A238" s="5">
        <v>250</v>
      </c>
      <c r="B238" s="3">
        <v>44540</v>
      </c>
      <c r="C238" s="5" t="s">
        <v>11</v>
      </c>
      <c r="D238" s="5" t="s">
        <v>9</v>
      </c>
      <c r="E238" s="5" t="s">
        <v>21</v>
      </c>
      <c r="F238" s="6">
        <v>3</v>
      </c>
      <c r="G238" s="6">
        <v>300</v>
      </c>
      <c r="H238" s="6">
        <f t="shared" si="3"/>
        <v>900</v>
      </c>
    </row>
    <row r="239" spans="1:8" x14ac:dyDescent="0.5">
      <c r="A239" s="5">
        <v>251</v>
      </c>
      <c r="B239" s="3">
        <v>44543</v>
      </c>
      <c r="C239" s="5" t="s">
        <v>11</v>
      </c>
      <c r="D239" s="5" t="s">
        <v>13</v>
      </c>
      <c r="E239" s="5" t="s">
        <v>21</v>
      </c>
      <c r="F239" s="6">
        <v>3</v>
      </c>
      <c r="G239" s="6">
        <v>300</v>
      </c>
      <c r="H239" s="6">
        <f t="shared" si="3"/>
        <v>900</v>
      </c>
    </row>
    <row r="240" spans="1:8" x14ac:dyDescent="0.5">
      <c r="A240" s="5">
        <v>252</v>
      </c>
      <c r="B240" s="3">
        <v>44544</v>
      </c>
      <c r="C240" s="5" t="s">
        <v>11</v>
      </c>
      <c r="D240" s="5" t="s">
        <v>14</v>
      </c>
      <c r="E240" s="5" t="s">
        <v>21</v>
      </c>
      <c r="F240" s="6">
        <v>3</v>
      </c>
      <c r="G240" s="6">
        <v>300</v>
      </c>
      <c r="H240" s="6">
        <f t="shared" si="3"/>
        <v>900</v>
      </c>
    </row>
    <row r="241" spans="1:8" x14ac:dyDescent="0.5">
      <c r="A241" s="5">
        <v>253</v>
      </c>
      <c r="B241" s="3">
        <v>44545</v>
      </c>
      <c r="C241" s="5" t="s">
        <v>11</v>
      </c>
      <c r="D241" s="5" t="s">
        <v>12</v>
      </c>
      <c r="E241" s="5" t="s">
        <v>21</v>
      </c>
      <c r="F241" s="6">
        <v>3</v>
      </c>
      <c r="G241" s="6">
        <v>300</v>
      </c>
      <c r="H241" s="6">
        <f t="shared" si="3"/>
        <v>900</v>
      </c>
    </row>
    <row r="242" spans="1:8" x14ac:dyDescent="0.5">
      <c r="A242" s="5">
        <v>254</v>
      </c>
      <c r="B242" s="3">
        <v>44546</v>
      </c>
      <c r="C242" s="5" t="s">
        <v>11</v>
      </c>
      <c r="D242" s="5" t="s">
        <v>9</v>
      </c>
      <c r="E242" s="5" t="s">
        <v>21</v>
      </c>
      <c r="F242" s="6">
        <v>3</v>
      </c>
      <c r="G242" s="6">
        <v>300</v>
      </c>
      <c r="H242" s="6">
        <f t="shared" si="3"/>
        <v>900</v>
      </c>
    </row>
    <row r="243" spans="1:8" x14ac:dyDescent="0.5">
      <c r="A243" s="5">
        <v>255</v>
      </c>
      <c r="B243" s="3">
        <v>44547</v>
      </c>
      <c r="C243" s="5" t="s">
        <v>11</v>
      </c>
      <c r="D243" s="5" t="s">
        <v>13</v>
      </c>
      <c r="E243" s="5" t="s">
        <v>21</v>
      </c>
      <c r="F243" s="6">
        <v>3</v>
      </c>
      <c r="G243" s="6">
        <v>300</v>
      </c>
      <c r="H243" s="6">
        <f t="shared" si="3"/>
        <v>900</v>
      </c>
    </row>
    <row r="244" spans="1:8" x14ac:dyDescent="0.5">
      <c r="A244" s="5">
        <v>256</v>
      </c>
      <c r="B244" s="3">
        <v>44550</v>
      </c>
      <c r="C244" s="5" t="s">
        <v>11</v>
      </c>
      <c r="D244" s="5" t="s">
        <v>14</v>
      </c>
      <c r="E244" s="5" t="s">
        <v>21</v>
      </c>
      <c r="F244" s="6">
        <v>3</v>
      </c>
      <c r="G244" s="6">
        <v>300</v>
      </c>
      <c r="H244" s="6">
        <f t="shared" si="3"/>
        <v>900</v>
      </c>
    </row>
    <row r="245" spans="1:8" x14ac:dyDescent="0.5">
      <c r="A245" s="5">
        <v>257</v>
      </c>
      <c r="B245" s="3">
        <v>44573</v>
      </c>
      <c r="C245" s="5" t="s">
        <v>11</v>
      </c>
      <c r="D245" s="5" t="s">
        <v>12</v>
      </c>
      <c r="E245" s="5" t="s">
        <v>21</v>
      </c>
      <c r="F245" s="6">
        <v>3</v>
      </c>
      <c r="G245" s="6">
        <v>300</v>
      </c>
      <c r="H245" s="6">
        <f t="shared" si="3"/>
        <v>900</v>
      </c>
    </row>
    <row r="246" spans="1:8" x14ac:dyDescent="0.5">
      <c r="A246" s="5">
        <v>258</v>
      </c>
      <c r="B246" s="3">
        <v>44578</v>
      </c>
      <c r="C246" s="5" t="s">
        <v>11</v>
      </c>
      <c r="D246" s="5" t="s">
        <v>9</v>
      </c>
      <c r="E246" s="5" t="s">
        <v>23</v>
      </c>
      <c r="F246" s="6">
        <v>4</v>
      </c>
      <c r="G246" s="6">
        <v>200</v>
      </c>
      <c r="H246" s="6">
        <f t="shared" si="3"/>
        <v>800</v>
      </c>
    </row>
    <row r="247" spans="1:8" x14ac:dyDescent="0.5">
      <c r="A247" s="5">
        <v>259</v>
      </c>
      <c r="B247" s="3">
        <v>44580</v>
      </c>
      <c r="C247" s="5" t="s">
        <v>11</v>
      </c>
      <c r="D247" s="5" t="s">
        <v>9</v>
      </c>
      <c r="E247" s="5" t="s">
        <v>23</v>
      </c>
      <c r="F247" s="6">
        <v>4</v>
      </c>
      <c r="G247" s="6">
        <v>200</v>
      </c>
      <c r="H247" s="6">
        <f t="shared" si="3"/>
        <v>800</v>
      </c>
    </row>
    <row r="248" spans="1:8" x14ac:dyDescent="0.5">
      <c r="A248" s="5">
        <v>260</v>
      </c>
      <c r="B248" s="3">
        <v>44589</v>
      </c>
      <c r="C248" s="5" t="s">
        <v>11</v>
      </c>
      <c r="D248" s="5" t="s">
        <v>9</v>
      </c>
      <c r="E248" s="5" t="s">
        <v>22</v>
      </c>
      <c r="F248" s="6">
        <v>3</v>
      </c>
      <c r="G248" s="6">
        <v>190</v>
      </c>
      <c r="H248" s="6">
        <f t="shared" si="3"/>
        <v>570</v>
      </c>
    </row>
    <row r="249" spans="1:8" x14ac:dyDescent="0.5">
      <c r="A249" s="5">
        <v>261</v>
      </c>
      <c r="B249" s="3">
        <v>44599</v>
      </c>
      <c r="C249" s="5" t="s">
        <v>11</v>
      </c>
      <c r="D249" s="5" t="s">
        <v>12</v>
      </c>
      <c r="E249" s="5" t="s">
        <v>22</v>
      </c>
      <c r="F249" s="6">
        <v>3</v>
      </c>
      <c r="G249" s="6">
        <v>190</v>
      </c>
      <c r="H249" s="6">
        <f t="shared" si="3"/>
        <v>570</v>
      </c>
    </row>
    <row r="250" spans="1:8" x14ac:dyDescent="0.5">
      <c r="A250" s="5">
        <v>262</v>
      </c>
      <c r="B250" s="3">
        <v>44600</v>
      </c>
      <c r="C250" s="5" t="s">
        <v>11</v>
      </c>
      <c r="D250" s="5" t="s">
        <v>13</v>
      </c>
      <c r="E250" s="5" t="s">
        <v>22</v>
      </c>
      <c r="F250" s="6">
        <v>3</v>
      </c>
      <c r="G250" s="6">
        <v>190</v>
      </c>
      <c r="H250" s="6">
        <f t="shared" si="3"/>
        <v>570</v>
      </c>
    </row>
    <row r="251" spans="1:8" x14ac:dyDescent="0.5">
      <c r="A251" s="5">
        <v>263</v>
      </c>
      <c r="B251" s="3">
        <v>44601</v>
      </c>
      <c r="C251" s="5" t="s">
        <v>11</v>
      </c>
      <c r="D251" s="5" t="s">
        <v>12</v>
      </c>
      <c r="E251" s="5" t="s">
        <v>22</v>
      </c>
      <c r="F251" s="6">
        <v>3</v>
      </c>
      <c r="G251" s="6">
        <v>190</v>
      </c>
      <c r="H251" s="6">
        <f t="shared" si="3"/>
        <v>570</v>
      </c>
    </row>
    <row r="252" spans="1:8" x14ac:dyDescent="0.5">
      <c r="A252" s="5">
        <v>264</v>
      </c>
      <c r="B252" s="3">
        <v>44614</v>
      </c>
      <c r="C252" s="5" t="s">
        <v>11</v>
      </c>
      <c r="D252" s="5" t="s">
        <v>12</v>
      </c>
      <c r="E252" s="5" t="s">
        <v>23</v>
      </c>
      <c r="F252" s="6">
        <v>3</v>
      </c>
      <c r="G252" s="6">
        <v>190</v>
      </c>
      <c r="H252" s="6">
        <f t="shared" si="3"/>
        <v>570</v>
      </c>
    </row>
    <row r="253" spans="1:8" x14ac:dyDescent="0.5">
      <c r="A253" s="5">
        <v>265</v>
      </c>
      <c r="B253" s="3">
        <v>44617</v>
      </c>
      <c r="C253" s="5" t="s">
        <v>11</v>
      </c>
      <c r="D253" s="5" t="s">
        <v>12</v>
      </c>
      <c r="E253" s="5" t="s">
        <v>23</v>
      </c>
      <c r="F253" s="6">
        <v>3</v>
      </c>
      <c r="G253" s="6">
        <v>190</v>
      </c>
      <c r="H253" s="6">
        <f t="shared" si="3"/>
        <v>570</v>
      </c>
    </row>
    <row r="254" spans="1:8" x14ac:dyDescent="0.5">
      <c r="A254" s="5">
        <v>266</v>
      </c>
      <c r="B254" s="3">
        <v>44623</v>
      </c>
      <c r="C254" s="5" t="s">
        <v>11</v>
      </c>
      <c r="D254" s="5" t="s">
        <v>14</v>
      </c>
      <c r="E254" s="5" t="s">
        <v>22</v>
      </c>
      <c r="F254" s="6">
        <v>2</v>
      </c>
      <c r="G254" s="6">
        <v>210</v>
      </c>
      <c r="H254" s="6">
        <f t="shared" si="3"/>
        <v>420</v>
      </c>
    </row>
    <row r="255" spans="1:8" x14ac:dyDescent="0.5">
      <c r="A255" s="5">
        <v>267</v>
      </c>
      <c r="B255" s="3">
        <v>44627</v>
      </c>
      <c r="C255" s="5" t="s">
        <v>11</v>
      </c>
      <c r="D255" s="5" t="s">
        <v>9</v>
      </c>
      <c r="E255" s="5" t="s">
        <v>22</v>
      </c>
      <c r="F255" s="6">
        <v>2</v>
      </c>
      <c r="G255" s="6">
        <v>210</v>
      </c>
      <c r="H255" s="6">
        <f t="shared" si="3"/>
        <v>420</v>
      </c>
    </row>
    <row r="256" spans="1:8" x14ac:dyDescent="0.5">
      <c r="A256" s="5">
        <v>268</v>
      </c>
      <c r="B256" s="3">
        <v>44630</v>
      </c>
      <c r="C256" s="5" t="s">
        <v>11</v>
      </c>
      <c r="D256" s="5" t="s">
        <v>12</v>
      </c>
      <c r="E256" s="5" t="s">
        <v>22</v>
      </c>
      <c r="F256" s="6">
        <v>2</v>
      </c>
      <c r="G256" s="6">
        <v>210</v>
      </c>
      <c r="H256" s="6">
        <f t="shared" si="3"/>
        <v>420</v>
      </c>
    </row>
    <row r="257" spans="1:8" x14ac:dyDescent="0.5">
      <c r="A257" s="5">
        <v>269</v>
      </c>
      <c r="B257" s="3">
        <v>44650</v>
      </c>
      <c r="C257" s="5" t="s">
        <v>11</v>
      </c>
      <c r="D257" s="5" t="s">
        <v>9</v>
      </c>
      <c r="E257" s="5" t="s">
        <v>22</v>
      </c>
      <c r="F257" s="6">
        <v>2</v>
      </c>
      <c r="G257" s="6">
        <v>210</v>
      </c>
      <c r="H257" s="6">
        <f t="shared" si="3"/>
        <v>420</v>
      </c>
    </row>
    <row r="258" spans="1:8" x14ac:dyDescent="0.5">
      <c r="A258" s="5">
        <v>270</v>
      </c>
      <c r="B258" s="3">
        <v>44664</v>
      </c>
      <c r="C258" s="5" t="s">
        <v>11</v>
      </c>
      <c r="D258" s="5" t="s">
        <v>12</v>
      </c>
      <c r="E258" s="5" t="s">
        <v>22</v>
      </c>
      <c r="F258" s="6">
        <v>2</v>
      </c>
      <c r="G258" s="6">
        <v>210</v>
      </c>
      <c r="H258" s="6">
        <f t="shared" ref="H258:H321" si="4">F258*G258</f>
        <v>420</v>
      </c>
    </row>
    <row r="259" spans="1:8" x14ac:dyDescent="0.5">
      <c r="A259" s="5">
        <v>271</v>
      </c>
      <c r="B259" s="3">
        <v>44676</v>
      </c>
      <c r="C259" s="5" t="s">
        <v>11</v>
      </c>
      <c r="D259" s="5" t="s">
        <v>13</v>
      </c>
      <c r="E259" s="5" t="s">
        <v>23</v>
      </c>
      <c r="F259" s="6">
        <v>2</v>
      </c>
      <c r="G259" s="6">
        <v>190</v>
      </c>
      <c r="H259" s="6">
        <f t="shared" si="4"/>
        <v>380</v>
      </c>
    </row>
    <row r="260" spans="1:8" x14ac:dyDescent="0.5">
      <c r="A260" s="5">
        <v>272</v>
      </c>
      <c r="B260" s="3">
        <v>44677</v>
      </c>
      <c r="C260" s="5" t="s">
        <v>11</v>
      </c>
      <c r="D260" s="5" t="s">
        <v>12</v>
      </c>
      <c r="E260" s="5" t="s">
        <v>23</v>
      </c>
      <c r="F260" s="6">
        <v>2</v>
      </c>
      <c r="G260" s="6">
        <v>190</v>
      </c>
      <c r="H260" s="6">
        <f t="shared" si="4"/>
        <v>380</v>
      </c>
    </row>
    <row r="261" spans="1:8" x14ac:dyDescent="0.5">
      <c r="A261" s="5">
        <v>273</v>
      </c>
      <c r="B261" s="3">
        <v>44678</v>
      </c>
      <c r="C261" s="5" t="s">
        <v>11</v>
      </c>
      <c r="D261" s="5" t="s">
        <v>12</v>
      </c>
      <c r="E261" s="5" t="s">
        <v>23</v>
      </c>
      <c r="F261" s="6">
        <v>2</v>
      </c>
      <c r="G261" s="6">
        <v>190</v>
      </c>
      <c r="H261" s="6">
        <f t="shared" si="4"/>
        <v>380</v>
      </c>
    </row>
    <row r="262" spans="1:8" x14ac:dyDescent="0.5">
      <c r="A262" s="5">
        <v>274</v>
      </c>
      <c r="B262" s="3">
        <v>44693</v>
      </c>
      <c r="C262" s="5" t="s">
        <v>11</v>
      </c>
      <c r="D262" s="5" t="s">
        <v>9</v>
      </c>
      <c r="E262" s="5" t="s">
        <v>23</v>
      </c>
      <c r="F262" s="6">
        <v>2</v>
      </c>
      <c r="G262" s="6">
        <v>190</v>
      </c>
      <c r="H262" s="6">
        <f t="shared" si="4"/>
        <v>380</v>
      </c>
    </row>
    <row r="263" spans="1:8" x14ac:dyDescent="0.5">
      <c r="A263" s="5">
        <v>275</v>
      </c>
      <c r="B263" s="3">
        <v>44694</v>
      </c>
      <c r="C263" s="5" t="s">
        <v>11</v>
      </c>
      <c r="D263" s="5" t="s">
        <v>12</v>
      </c>
      <c r="E263" s="5" t="s">
        <v>23</v>
      </c>
      <c r="F263" s="6">
        <v>2</v>
      </c>
      <c r="G263" s="6">
        <v>190</v>
      </c>
      <c r="H263" s="6">
        <f t="shared" si="4"/>
        <v>380</v>
      </c>
    </row>
    <row r="264" spans="1:8" x14ac:dyDescent="0.5">
      <c r="A264" s="5">
        <v>276</v>
      </c>
      <c r="B264" s="3">
        <v>44698</v>
      </c>
      <c r="C264" s="5" t="s">
        <v>11</v>
      </c>
      <c r="D264" s="5" t="s">
        <v>12</v>
      </c>
      <c r="E264" s="5" t="s">
        <v>23</v>
      </c>
      <c r="F264" s="6">
        <v>2</v>
      </c>
      <c r="G264" s="6">
        <v>190</v>
      </c>
      <c r="H264" s="6">
        <f t="shared" si="4"/>
        <v>380</v>
      </c>
    </row>
    <row r="265" spans="1:8" x14ac:dyDescent="0.5">
      <c r="A265" s="5">
        <v>277</v>
      </c>
      <c r="B265" s="3">
        <v>44704</v>
      </c>
      <c r="C265" s="5" t="s">
        <v>11</v>
      </c>
      <c r="D265" s="5" t="s">
        <v>9</v>
      </c>
      <c r="E265" s="5" t="s">
        <v>23</v>
      </c>
      <c r="F265" s="6">
        <v>2</v>
      </c>
      <c r="G265" s="6">
        <v>190</v>
      </c>
      <c r="H265" s="6">
        <f t="shared" si="4"/>
        <v>380</v>
      </c>
    </row>
    <row r="266" spans="1:8" x14ac:dyDescent="0.5">
      <c r="A266" s="5">
        <v>278</v>
      </c>
      <c r="B266" s="3">
        <v>44705</v>
      </c>
      <c r="C266" s="5" t="s">
        <v>11</v>
      </c>
      <c r="D266" s="5" t="s">
        <v>13</v>
      </c>
      <c r="E266" s="5" t="s">
        <v>23</v>
      </c>
      <c r="F266" s="6">
        <v>2</v>
      </c>
      <c r="G266" s="6">
        <v>190</v>
      </c>
      <c r="H266" s="6">
        <f t="shared" si="4"/>
        <v>380</v>
      </c>
    </row>
    <row r="267" spans="1:8" x14ac:dyDescent="0.5">
      <c r="A267" s="5">
        <v>279</v>
      </c>
      <c r="B267" s="3">
        <v>44706</v>
      </c>
      <c r="C267" s="5" t="s">
        <v>11</v>
      </c>
      <c r="D267" s="5" t="s">
        <v>14</v>
      </c>
      <c r="E267" s="5" t="s">
        <v>23</v>
      </c>
      <c r="F267" s="6">
        <v>2</v>
      </c>
      <c r="G267" s="6">
        <v>190</v>
      </c>
      <c r="H267" s="6">
        <f t="shared" si="4"/>
        <v>380</v>
      </c>
    </row>
    <row r="268" spans="1:8" x14ac:dyDescent="0.5">
      <c r="A268" s="5">
        <v>280</v>
      </c>
      <c r="B268" s="3">
        <v>44707</v>
      </c>
      <c r="C268" s="5" t="s">
        <v>11</v>
      </c>
      <c r="D268" s="5" t="s">
        <v>12</v>
      </c>
      <c r="E268" s="5" t="s">
        <v>23</v>
      </c>
      <c r="F268" s="6">
        <v>2</v>
      </c>
      <c r="G268" s="6">
        <v>190</v>
      </c>
      <c r="H268" s="6">
        <f t="shared" si="4"/>
        <v>380</v>
      </c>
    </row>
    <row r="269" spans="1:8" x14ac:dyDescent="0.5">
      <c r="A269" s="5">
        <v>281</v>
      </c>
      <c r="B269" s="3">
        <v>44708</v>
      </c>
      <c r="C269" s="5" t="s">
        <v>11</v>
      </c>
      <c r="D269" s="5" t="s">
        <v>9</v>
      </c>
      <c r="E269" s="5" t="s">
        <v>23</v>
      </c>
      <c r="F269" s="6">
        <v>2</v>
      </c>
      <c r="G269" s="6">
        <v>190</v>
      </c>
      <c r="H269" s="6">
        <f t="shared" si="4"/>
        <v>380</v>
      </c>
    </row>
    <row r="270" spans="1:8" x14ac:dyDescent="0.5">
      <c r="A270" s="5">
        <v>282</v>
      </c>
      <c r="B270" s="3">
        <v>44711</v>
      </c>
      <c r="C270" s="5" t="s">
        <v>11</v>
      </c>
      <c r="D270" s="5" t="s">
        <v>13</v>
      </c>
      <c r="E270" s="5" t="s">
        <v>23</v>
      </c>
      <c r="F270" s="6">
        <v>2</v>
      </c>
      <c r="G270" s="6">
        <v>190</v>
      </c>
      <c r="H270" s="6">
        <f t="shared" si="4"/>
        <v>380</v>
      </c>
    </row>
    <row r="271" spans="1:8" x14ac:dyDescent="0.5">
      <c r="A271" s="5">
        <v>283</v>
      </c>
      <c r="B271" s="3">
        <v>44712</v>
      </c>
      <c r="C271" s="5" t="s">
        <v>11</v>
      </c>
      <c r="D271" s="5" t="s">
        <v>14</v>
      </c>
      <c r="E271" s="5" t="s">
        <v>23</v>
      </c>
      <c r="F271" s="6">
        <v>2</v>
      </c>
      <c r="G271" s="6">
        <v>190</v>
      </c>
      <c r="H271" s="6">
        <f t="shared" si="4"/>
        <v>380</v>
      </c>
    </row>
    <row r="272" spans="1:8" x14ac:dyDescent="0.5">
      <c r="A272" s="5">
        <v>284</v>
      </c>
      <c r="B272" s="3">
        <v>44221</v>
      </c>
      <c r="C272" s="5" t="s">
        <v>18</v>
      </c>
      <c r="D272" s="5" t="s">
        <v>14</v>
      </c>
      <c r="E272" s="5" t="s">
        <v>10</v>
      </c>
      <c r="F272" s="6">
        <v>7</v>
      </c>
      <c r="G272" s="6">
        <v>2100</v>
      </c>
      <c r="H272" s="6">
        <f t="shared" si="4"/>
        <v>14700</v>
      </c>
    </row>
    <row r="273" spans="1:8" x14ac:dyDescent="0.5">
      <c r="A273" s="5">
        <v>285</v>
      </c>
      <c r="B273" s="3">
        <v>44222</v>
      </c>
      <c r="C273" s="5" t="s">
        <v>18</v>
      </c>
      <c r="D273" s="5" t="s">
        <v>9</v>
      </c>
      <c r="E273" s="5" t="s">
        <v>10</v>
      </c>
      <c r="F273" s="6">
        <v>7</v>
      </c>
      <c r="G273" s="6">
        <v>2100</v>
      </c>
      <c r="H273" s="6">
        <f t="shared" si="4"/>
        <v>14700</v>
      </c>
    </row>
    <row r="274" spans="1:8" x14ac:dyDescent="0.5">
      <c r="A274" s="5">
        <v>286</v>
      </c>
      <c r="B274" s="3">
        <v>44223</v>
      </c>
      <c r="C274" s="5" t="s">
        <v>18</v>
      </c>
      <c r="D274" s="5" t="s">
        <v>12</v>
      </c>
      <c r="E274" s="5" t="s">
        <v>10</v>
      </c>
      <c r="F274" s="6">
        <v>7</v>
      </c>
      <c r="G274" s="6">
        <v>2100</v>
      </c>
      <c r="H274" s="6">
        <f t="shared" si="4"/>
        <v>14700</v>
      </c>
    </row>
    <row r="275" spans="1:8" x14ac:dyDescent="0.5">
      <c r="A275" s="5">
        <v>287</v>
      </c>
      <c r="B275" s="3">
        <v>44224</v>
      </c>
      <c r="C275" s="5" t="s">
        <v>18</v>
      </c>
      <c r="D275" s="5" t="s">
        <v>13</v>
      </c>
      <c r="E275" s="5" t="s">
        <v>10</v>
      </c>
      <c r="F275" s="6">
        <v>7</v>
      </c>
      <c r="G275" s="6">
        <v>2100</v>
      </c>
      <c r="H275" s="6">
        <f t="shared" si="4"/>
        <v>14700</v>
      </c>
    </row>
    <row r="276" spans="1:8" x14ac:dyDescent="0.5">
      <c r="A276" s="5">
        <v>288</v>
      </c>
      <c r="B276" s="3">
        <v>44225</v>
      </c>
      <c r="C276" s="5" t="s">
        <v>18</v>
      </c>
      <c r="D276" s="5" t="s">
        <v>14</v>
      </c>
      <c r="E276" s="5" t="s">
        <v>10</v>
      </c>
      <c r="F276" s="6">
        <v>7</v>
      </c>
      <c r="G276" s="6">
        <v>2100</v>
      </c>
      <c r="H276" s="6">
        <f t="shared" si="4"/>
        <v>14700</v>
      </c>
    </row>
    <row r="277" spans="1:8" x14ac:dyDescent="0.5">
      <c r="A277" s="5">
        <v>289</v>
      </c>
      <c r="B277" s="3">
        <v>44229</v>
      </c>
      <c r="C277" s="5" t="s">
        <v>18</v>
      </c>
      <c r="D277" s="5" t="s">
        <v>9</v>
      </c>
      <c r="E277" s="5" t="s">
        <v>10</v>
      </c>
      <c r="F277" s="6">
        <v>7</v>
      </c>
      <c r="G277" s="6">
        <v>2100</v>
      </c>
      <c r="H277" s="6">
        <f t="shared" si="4"/>
        <v>14700</v>
      </c>
    </row>
    <row r="278" spans="1:8" x14ac:dyDescent="0.5">
      <c r="A278" s="5">
        <v>290</v>
      </c>
      <c r="B278" s="3">
        <v>44235</v>
      </c>
      <c r="C278" s="5" t="s">
        <v>18</v>
      </c>
      <c r="D278" s="5" t="s">
        <v>12</v>
      </c>
      <c r="E278" s="5" t="s">
        <v>10</v>
      </c>
      <c r="F278" s="6">
        <v>7</v>
      </c>
      <c r="G278" s="6">
        <v>2100</v>
      </c>
      <c r="H278" s="6">
        <f t="shared" si="4"/>
        <v>14700</v>
      </c>
    </row>
    <row r="279" spans="1:8" x14ac:dyDescent="0.5">
      <c r="A279" s="5">
        <v>291</v>
      </c>
      <c r="B279" s="3">
        <v>44242</v>
      </c>
      <c r="C279" s="5" t="s">
        <v>18</v>
      </c>
      <c r="D279" s="5" t="s">
        <v>12</v>
      </c>
      <c r="E279" s="5" t="s">
        <v>10</v>
      </c>
      <c r="F279" s="6">
        <v>7</v>
      </c>
      <c r="G279" s="6">
        <v>2100</v>
      </c>
      <c r="H279" s="6">
        <f t="shared" si="4"/>
        <v>14700</v>
      </c>
    </row>
    <row r="280" spans="1:8" x14ac:dyDescent="0.5">
      <c r="A280" s="5">
        <v>292</v>
      </c>
      <c r="B280" s="3">
        <v>44243</v>
      </c>
      <c r="C280" s="5" t="s">
        <v>18</v>
      </c>
      <c r="D280" s="5" t="s">
        <v>9</v>
      </c>
      <c r="E280" s="5" t="s">
        <v>10</v>
      </c>
      <c r="F280" s="6">
        <v>7</v>
      </c>
      <c r="G280" s="6">
        <v>2100</v>
      </c>
      <c r="H280" s="6">
        <f t="shared" si="4"/>
        <v>14700</v>
      </c>
    </row>
    <row r="281" spans="1:8" x14ac:dyDescent="0.5">
      <c r="A281" s="5">
        <v>293</v>
      </c>
      <c r="B281" s="3">
        <v>44244</v>
      </c>
      <c r="C281" s="5" t="s">
        <v>18</v>
      </c>
      <c r="D281" s="5" t="s">
        <v>12</v>
      </c>
      <c r="E281" s="5" t="s">
        <v>10</v>
      </c>
      <c r="F281" s="6">
        <v>7</v>
      </c>
      <c r="G281" s="6">
        <v>2100</v>
      </c>
      <c r="H281" s="6">
        <f t="shared" si="4"/>
        <v>14700</v>
      </c>
    </row>
    <row r="282" spans="1:8" x14ac:dyDescent="0.5">
      <c r="A282" s="5">
        <v>294</v>
      </c>
      <c r="B282" s="3">
        <v>44245</v>
      </c>
      <c r="C282" s="5" t="s">
        <v>18</v>
      </c>
      <c r="D282" s="5" t="s">
        <v>13</v>
      </c>
      <c r="E282" s="5" t="s">
        <v>10</v>
      </c>
      <c r="F282" s="6">
        <v>7</v>
      </c>
      <c r="G282" s="6">
        <v>2100</v>
      </c>
      <c r="H282" s="6">
        <f t="shared" si="4"/>
        <v>14700</v>
      </c>
    </row>
    <row r="283" spans="1:8" x14ac:dyDescent="0.5">
      <c r="A283" s="5">
        <v>295</v>
      </c>
      <c r="B283" s="3">
        <v>44246</v>
      </c>
      <c r="C283" s="5" t="s">
        <v>18</v>
      </c>
      <c r="D283" s="5" t="s">
        <v>14</v>
      </c>
      <c r="E283" s="5" t="s">
        <v>10</v>
      </c>
      <c r="F283" s="6">
        <v>7</v>
      </c>
      <c r="G283" s="6">
        <v>2100</v>
      </c>
      <c r="H283" s="6">
        <f t="shared" si="4"/>
        <v>14700</v>
      </c>
    </row>
    <row r="284" spans="1:8" x14ac:dyDescent="0.5">
      <c r="A284" s="5">
        <v>296</v>
      </c>
      <c r="B284" s="3">
        <v>44256</v>
      </c>
      <c r="C284" s="5" t="s">
        <v>18</v>
      </c>
      <c r="D284" s="5" t="s">
        <v>9</v>
      </c>
      <c r="E284" s="5" t="s">
        <v>10</v>
      </c>
      <c r="F284" s="6">
        <v>7</v>
      </c>
      <c r="G284" s="6">
        <v>2100</v>
      </c>
      <c r="H284" s="6">
        <f t="shared" si="4"/>
        <v>14700</v>
      </c>
    </row>
    <row r="285" spans="1:8" x14ac:dyDescent="0.5">
      <c r="A285" s="5">
        <v>297</v>
      </c>
      <c r="B285" s="3">
        <v>44258</v>
      </c>
      <c r="C285" s="5" t="s">
        <v>18</v>
      </c>
      <c r="D285" s="5" t="s">
        <v>9</v>
      </c>
      <c r="E285" s="5" t="s">
        <v>10</v>
      </c>
      <c r="F285" s="6">
        <v>7</v>
      </c>
      <c r="G285" s="6">
        <v>2100</v>
      </c>
      <c r="H285" s="6">
        <f t="shared" si="4"/>
        <v>14700</v>
      </c>
    </row>
    <row r="286" spans="1:8" x14ac:dyDescent="0.5">
      <c r="A286" s="5">
        <v>298</v>
      </c>
      <c r="B286" s="3">
        <v>44260</v>
      </c>
      <c r="C286" s="5" t="s">
        <v>18</v>
      </c>
      <c r="D286" s="5" t="s">
        <v>12</v>
      </c>
      <c r="E286" s="5" t="s">
        <v>19</v>
      </c>
      <c r="F286" s="6">
        <v>7</v>
      </c>
      <c r="G286" s="6">
        <v>2100</v>
      </c>
      <c r="H286" s="6">
        <f t="shared" si="4"/>
        <v>14700</v>
      </c>
    </row>
    <row r="287" spans="1:8" x14ac:dyDescent="0.5">
      <c r="A287" s="5">
        <v>299</v>
      </c>
      <c r="B287" s="3">
        <v>44272</v>
      </c>
      <c r="C287" s="5" t="s">
        <v>18</v>
      </c>
      <c r="D287" s="5" t="s">
        <v>12</v>
      </c>
      <c r="E287" s="5" t="s">
        <v>10</v>
      </c>
      <c r="F287" s="6">
        <v>6</v>
      </c>
      <c r="G287" s="6">
        <v>2100</v>
      </c>
      <c r="H287" s="6">
        <f t="shared" si="4"/>
        <v>12600</v>
      </c>
    </row>
    <row r="288" spans="1:8" x14ac:dyDescent="0.5">
      <c r="A288" s="5">
        <v>300</v>
      </c>
      <c r="B288" s="3">
        <v>44277</v>
      </c>
      <c r="C288" s="5" t="s">
        <v>18</v>
      </c>
      <c r="D288" s="5" t="s">
        <v>12</v>
      </c>
      <c r="E288" s="5" t="s">
        <v>10</v>
      </c>
      <c r="F288" s="6">
        <v>6</v>
      </c>
      <c r="G288" s="6">
        <v>2100</v>
      </c>
      <c r="H288" s="6">
        <f t="shared" si="4"/>
        <v>12600</v>
      </c>
    </row>
    <row r="289" spans="1:8" x14ac:dyDescent="0.5">
      <c r="A289" s="5">
        <v>301</v>
      </c>
      <c r="B289" s="3">
        <v>44278</v>
      </c>
      <c r="C289" s="5" t="s">
        <v>18</v>
      </c>
      <c r="D289" s="5" t="s">
        <v>14</v>
      </c>
      <c r="E289" s="5" t="s">
        <v>10</v>
      </c>
      <c r="F289" s="6">
        <v>6</v>
      </c>
      <c r="G289" s="6">
        <v>2100</v>
      </c>
      <c r="H289" s="6">
        <f t="shared" si="4"/>
        <v>12600</v>
      </c>
    </row>
    <row r="290" spans="1:8" x14ac:dyDescent="0.5">
      <c r="A290" s="5">
        <v>302</v>
      </c>
      <c r="B290" s="3">
        <v>44279</v>
      </c>
      <c r="C290" s="5" t="s">
        <v>18</v>
      </c>
      <c r="D290" s="5" t="s">
        <v>13</v>
      </c>
      <c r="E290" s="5" t="s">
        <v>10</v>
      </c>
      <c r="F290" s="6">
        <v>6</v>
      </c>
      <c r="G290" s="6">
        <v>2100</v>
      </c>
      <c r="H290" s="6">
        <f t="shared" si="4"/>
        <v>12600</v>
      </c>
    </row>
    <row r="291" spans="1:8" x14ac:dyDescent="0.5">
      <c r="A291" s="5">
        <v>303</v>
      </c>
      <c r="B291" s="3">
        <v>44284</v>
      </c>
      <c r="C291" s="5" t="s">
        <v>18</v>
      </c>
      <c r="D291" s="5" t="s">
        <v>9</v>
      </c>
      <c r="E291" s="5" t="s">
        <v>10</v>
      </c>
      <c r="F291" s="6">
        <v>6</v>
      </c>
      <c r="G291" s="6">
        <v>2100</v>
      </c>
      <c r="H291" s="6">
        <f t="shared" si="4"/>
        <v>12600</v>
      </c>
    </row>
    <row r="292" spans="1:8" x14ac:dyDescent="0.5">
      <c r="A292" s="5">
        <v>304</v>
      </c>
      <c r="B292" s="3">
        <v>44285</v>
      </c>
      <c r="C292" s="5" t="s">
        <v>18</v>
      </c>
      <c r="D292" s="5" t="s">
        <v>9</v>
      </c>
      <c r="E292" s="5" t="s">
        <v>10</v>
      </c>
      <c r="F292" s="6">
        <v>6</v>
      </c>
      <c r="G292" s="6">
        <v>2100</v>
      </c>
      <c r="H292" s="6">
        <f t="shared" si="4"/>
        <v>12600</v>
      </c>
    </row>
    <row r="293" spans="1:8" x14ac:dyDescent="0.5">
      <c r="A293" s="5">
        <v>305</v>
      </c>
      <c r="B293" s="3">
        <v>44287</v>
      </c>
      <c r="C293" s="5" t="s">
        <v>18</v>
      </c>
      <c r="D293" s="5" t="s">
        <v>14</v>
      </c>
      <c r="E293" s="5" t="s">
        <v>10</v>
      </c>
      <c r="F293" s="6">
        <v>6</v>
      </c>
      <c r="G293" s="6">
        <v>2100</v>
      </c>
      <c r="H293" s="6">
        <f t="shared" si="4"/>
        <v>12600</v>
      </c>
    </row>
    <row r="294" spans="1:8" x14ac:dyDescent="0.5">
      <c r="A294" s="5">
        <v>306</v>
      </c>
      <c r="B294" s="3">
        <v>44291</v>
      </c>
      <c r="C294" s="5" t="s">
        <v>18</v>
      </c>
      <c r="D294" s="5" t="s">
        <v>14</v>
      </c>
      <c r="E294" s="5" t="s">
        <v>10</v>
      </c>
      <c r="F294" s="6">
        <v>6</v>
      </c>
      <c r="G294" s="6">
        <v>2100</v>
      </c>
      <c r="H294" s="6">
        <f t="shared" si="4"/>
        <v>12600</v>
      </c>
    </row>
    <row r="295" spans="1:8" x14ac:dyDescent="0.5">
      <c r="A295" s="5">
        <v>307</v>
      </c>
      <c r="B295" s="3">
        <v>44295</v>
      </c>
      <c r="C295" s="5" t="s">
        <v>18</v>
      </c>
      <c r="D295" s="5" t="s">
        <v>9</v>
      </c>
      <c r="E295" s="5" t="s">
        <v>10</v>
      </c>
      <c r="F295" s="6">
        <v>6</v>
      </c>
      <c r="G295" s="6">
        <v>2100</v>
      </c>
      <c r="H295" s="6">
        <f t="shared" si="4"/>
        <v>12600</v>
      </c>
    </row>
    <row r="296" spans="1:8" x14ac:dyDescent="0.5">
      <c r="A296" s="5">
        <v>308</v>
      </c>
      <c r="B296" s="3">
        <v>44313</v>
      </c>
      <c r="C296" s="5" t="s">
        <v>18</v>
      </c>
      <c r="D296" s="5" t="s">
        <v>12</v>
      </c>
      <c r="E296" s="5" t="s">
        <v>20</v>
      </c>
      <c r="F296" s="6">
        <v>5</v>
      </c>
      <c r="G296" s="6">
        <v>1500</v>
      </c>
      <c r="H296" s="6">
        <f t="shared" si="4"/>
        <v>7500</v>
      </c>
    </row>
    <row r="297" spans="1:8" x14ac:dyDescent="0.5">
      <c r="A297" s="5">
        <v>309</v>
      </c>
      <c r="B297" s="3">
        <v>44320</v>
      </c>
      <c r="C297" s="5" t="s">
        <v>18</v>
      </c>
      <c r="D297" s="5" t="s">
        <v>14</v>
      </c>
      <c r="E297" s="5" t="s">
        <v>20</v>
      </c>
      <c r="F297" s="6">
        <v>5</v>
      </c>
      <c r="G297" s="6">
        <v>1500</v>
      </c>
      <c r="H297" s="6">
        <f t="shared" si="4"/>
        <v>7500</v>
      </c>
    </row>
    <row r="298" spans="1:8" x14ac:dyDescent="0.5">
      <c r="A298" s="5">
        <v>310</v>
      </c>
      <c r="B298" s="3">
        <v>44321</v>
      </c>
      <c r="C298" s="5" t="s">
        <v>18</v>
      </c>
      <c r="D298" s="5" t="s">
        <v>9</v>
      </c>
      <c r="E298" s="5" t="s">
        <v>20</v>
      </c>
      <c r="F298" s="6">
        <v>5</v>
      </c>
      <c r="G298" s="6">
        <v>1500</v>
      </c>
      <c r="H298" s="6">
        <f t="shared" si="4"/>
        <v>7500</v>
      </c>
    </row>
    <row r="299" spans="1:8" x14ac:dyDescent="0.5">
      <c r="A299" s="5">
        <v>311</v>
      </c>
      <c r="B299" s="3">
        <v>44326</v>
      </c>
      <c r="C299" s="5" t="s">
        <v>18</v>
      </c>
      <c r="D299" s="5" t="s">
        <v>14</v>
      </c>
      <c r="E299" s="5" t="s">
        <v>20</v>
      </c>
      <c r="F299" s="6">
        <v>5</v>
      </c>
      <c r="G299" s="6">
        <v>1500</v>
      </c>
      <c r="H299" s="6">
        <f t="shared" si="4"/>
        <v>7500</v>
      </c>
    </row>
    <row r="300" spans="1:8" x14ac:dyDescent="0.5">
      <c r="A300" s="5">
        <v>312</v>
      </c>
      <c r="B300" s="3">
        <v>44329</v>
      </c>
      <c r="C300" s="5" t="s">
        <v>18</v>
      </c>
      <c r="D300" s="5" t="s">
        <v>9</v>
      </c>
      <c r="E300" s="5" t="s">
        <v>20</v>
      </c>
      <c r="F300" s="6">
        <v>5</v>
      </c>
      <c r="G300" s="6">
        <v>1500</v>
      </c>
      <c r="H300" s="6">
        <f t="shared" si="4"/>
        <v>7500</v>
      </c>
    </row>
    <row r="301" spans="1:8" x14ac:dyDescent="0.5">
      <c r="A301" s="5">
        <v>313</v>
      </c>
      <c r="B301" s="3">
        <v>44337</v>
      </c>
      <c r="C301" s="5" t="s">
        <v>18</v>
      </c>
      <c r="D301" s="5" t="s">
        <v>9</v>
      </c>
      <c r="E301" s="5" t="s">
        <v>20</v>
      </c>
      <c r="F301" s="6">
        <v>6</v>
      </c>
      <c r="G301" s="6">
        <v>1200</v>
      </c>
      <c r="H301" s="6">
        <f t="shared" si="4"/>
        <v>7200</v>
      </c>
    </row>
    <row r="302" spans="1:8" x14ac:dyDescent="0.5">
      <c r="A302" s="5">
        <v>314</v>
      </c>
      <c r="B302" s="3">
        <v>44355</v>
      </c>
      <c r="C302" s="5" t="s">
        <v>18</v>
      </c>
      <c r="D302" s="5" t="s">
        <v>13</v>
      </c>
      <c r="E302" s="5" t="s">
        <v>19</v>
      </c>
      <c r="F302" s="6">
        <v>6</v>
      </c>
      <c r="G302" s="6">
        <v>1200</v>
      </c>
      <c r="H302" s="6">
        <f t="shared" si="4"/>
        <v>7200</v>
      </c>
    </row>
    <row r="303" spans="1:8" x14ac:dyDescent="0.5">
      <c r="A303" s="5">
        <v>315</v>
      </c>
      <c r="B303" s="3">
        <v>44361</v>
      </c>
      <c r="C303" s="5" t="s">
        <v>18</v>
      </c>
      <c r="D303" s="5" t="s">
        <v>13</v>
      </c>
      <c r="E303" s="5" t="s">
        <v>19</v>
      </c>
      <c r="F303" s="6">
        <v>6</v>
      </c>
      <c r="G303" s="6">
        <v>1200</v>
      </c>
      <c r="H303" s="6">
        <f t="shared" si="4"/>
        <v>7200</v>
      </c>
    </row>
    <row r="304" spans="1:8" x14ac:dyDescent="0.5">
      <c r="A304" s="5">
        <v>316</v>
      </c>
      <c r="B304" s="3">
        <v>44368</v>
      </c>
      <c r="C304" s="5" t="s">
        <v>18</v>
      </c>
      <c r="D304" s="5" t="s">
        <v>14</v>
      </c>
      <c r="E304" s="5" t="s">
        <v>20</v>
      </c>
      <c r="F304" s="6">
        <v>4</v>
      </c>
      <c r="G304" s="6">
        <v>1500</v>
      </c>
      <c r="H304" s="6">
        <f t="shared" si="4"/>
        <v>6000</v>
      </c>
    </row>
    <row r="305" spans="1:8" x14ac:dyDescent="0.5">
      <c r="A305" s="5">
        <v>317</v>
      </c>
      <c r="B305" s="3">
        <v>44369</v>
      </c>
      <c r="C305" s="5" t="s">
        <v>18</v>
      </c>
      <c r="D305" s="5" t="s">
        <v>9</v>
      </c>
      <c r="E305" s="5" t="s">
        <v>20</v>
      </c>
      <c r="F305" s="6">
        <v>4</v>
      </c>
      <c r="G305" s="6">
        <v>1500</v>
      </c>
      <c r="H305" s="6">
        <f t="shared" si="4"/>
        <v>6000</v>
      </c>
    </row>
    <row r="306" spans="1:8" x14ac:dyDescent="0.5">
      <c r="A306" s="5">
        <v>318</v>
      </c>
      <c r="B306" s="3">
        <v>44370</v>
      </c>
      <c r="C306" s="5" t="s">
        <v>18</v>
      </c>
      <c r="D306" s="5" t="s">
        <v>9</v>
      </c>
      <c r="E306" s="5" t="s">
        <v>20</v>
      </c>
      <c r="F306" s="6">
        <v>4</v>
      </c>
      <c r="G306" s="6">
        <v>1500</v>
      </c>
      <c r="H306" s="6">
        <f t="shared" si="4"/>
        <v>6000</v>
      </c>
    </row>
    <row r="307" spans="1:8" x14ac:dyDescent="0.5">
      <c r="A307" s="5">
        <v>319</v>
      </c>
      <c r="B307" s="3">
        <v>44376</v>
      </c>
      <c r="C307" s="5" t="s">
        <v>18</v>
      </c>
      <c r="D307" s="5" t="s">
        <v>14</v>
      </c>
      <c r="E307" s="5" t="s">
        <v>20</v>
      </c>
      <c r="F307" s="6">
        <v>4</v>
      </c>
      <c r="G307" s="6">
        <v>1500</v>
      </c>
      <c r="H307" s="6">
        <f t="shared" si="4"/>
        <v>6000</v>
      </c>
    </row>
    <row r="308" spans="1:8" x14ac:dyDescent="0.5">
      <c r="A308" s="5">
        <v>320</v>
      </c>
      <c r="B308" s="3">
        <v>44377</v>
      </c>
      <c r="C308" s="5" t="s">
        <v>18</v>
      </c>
      <c r="D308" s="5" t="s">
        <v>12</v>
      </c>
      <c r="E308" s="5" t="s">
        <v>20</v>
      </c>
      <c r="F308" s="6">
        <v>4</v>
      </c>
      <c r="G308" s="6">
        <v>1500</v>
      </c>
      <c r="H308" s="6">
        <f t="shared" si="4"/>
        <v>6000</v>
      </c>
    </row>
    <row r="309" spans="1:8" x14ac:dyDescent="0.5">
      <c r="A309" s="5">
        <v>321</v>
      </c>
      <c r="B309" s="3">
        <v>44382</v>
      </c>
      <c r="C309" s="5" t="s">
        <v>18</v>
      </c>
      <c r="D309" s="5" t="s">
        <v>12</v>
      </c>
      <c r="E309" s="5" t="s">
        <v>20</v>
      </c>
      <c r="F309" s="6">
        <v>4</v>
      </c>
      <c r="G309" s="6">
        <v>1500</v>
      </c>
      <c r="H309" s="6">
        <f t="shared" si="4"/>
        <v>6000</v>
      </c>
    </row>
    <row r="310" spans="1:8" x14ac:dyDescent="0.5">
      <c r="A310" s="5">
        <v>322</v>
      </c>
      <c r="B310" s="3">
        <v>44383</v>
      </c>
      <c r="C310" s="5" t="s">
        <v>18</v>
      </c>
      <c r="D310" s="5" t="s">
        <v>9</v>
      </c>
      <c r="E310" s="5" t="s">
        <v>20</v>
      </c>
      <c r="F310" s="6">
        <v>4</v>
      </c>
      <c r="G310" s="6">
        <v>1500</v>
      </c>
      <c r="H310" s="6">
        <f t="shared" si="4"/>
        <v>6000</v>
      </c>
    </row>
    <row r="311" spans="1:8" x14ac:dyDescent="0.5">
      <c r="A311" s="5">
        <v>323</v>
      </c>
      <c r="B311" s="3">
        <v>44384</v>
      </c>
      <c r="C311" s="5" t="s">
        <v>18</v>
      </c>
      <c r="D311" s="5" t="s">
        <v>9</v>
      </c>
      <c r="E311" s="5" t="s">
        <v>20</v>
      </c>
      <c r="F311" s="6">
        <v>4</v>
      </c>
      <c r="G311" s="6">
        <v>1500</v>
      </c>
      <c r="H311" s="6">
        <f t="shared" si="4"/>
        <v>6000</v>
      </c>
    </row>
    <row r="312" spans="1:8" x14ac:dyDescent="0.5">
      <c r="A312" s="5">
        <v>324</v>
      </c>
      <c r="B312" s="3">
        <v>44392</v>
      </c>
      <c r="C312" s="5" t="s">
        <v>18</v>
      </c>
      <c r="D312" s="5" t="s">
        <v>12</v>
      </c>
      <c r="E312" s="5" t="s">
        <v>20</v>
      </c>
      <c r="F312" s="6">
        <v>4</v>
      </c>
      <c r="G312" s="6">
        <v>1500</v>
      </c>
      <c r="H312" s="6">
        <f t="shared" si="4"/>
        <v>6000</v>
      </c>
    </row>
    <row r="313" spans="1:8" x14ac:dyDescent="0.5">
      <c r="A313" s="5">
        <v>325</v>
      </c>
      <c r="B313" s="3">
        <v>44393</v>
      </c>
      <c r="C313" s="5" t="s">
        <v>18</v>
      </c>
      <c r="D313" s="5" t="s">
        <v>9</v>
      </c>
      <c r="E313" s="5" t="s">
        <v>20</v>
      </c>
      <c r="F313" s="6">
        <v>4</v>
      </c>
      <c r="G313" s="6">
        <v>1500</v>
      </c>
      <c r="H313" s="6">
        <f t="shared" si="4"/>
        <v>6000</v>
      </c>
    </row>
    <row r="314" spans="1:8" x14ac:dyDescent="0.5">
      <c r="A314" s="5">
        <v>326</v>
      </c>
      <c r="B314" s="3">
        <v>44403</v>
      </c>
      <c r="C314" s="5" t="s">
        <v>18</v>
      </c>
      <c r="D314" s="5" t="s">
        <v>9</v>
      </c>
      <c r="E314" s="5" t="s">
        <v>20</v>
      </c>
      <c r="F314" s="6">
        <v>4</v>
      </c>
      <c r="G314" s="6">
        <v>1500</v>
      </c>
      <c r="H314" s="6">
        <f t="shared" si="4"/>
        <v>6000</v>
      </c>
    </row>
    <row r="315" spans="1:8" x14ac:dyDescent="0.5">
      <c r="A315" s="5">
        <v>327</v>
      </c>
      <c r="B315" s="3">
        <v>44407</v>
      </c>
      <c r="C315" s="5" t="s">
        <v>18</v>
      </c>
      <c r="D315" s="5" t="s">
        <v>13</v>
      </c>
      <c r="E315" s="5" t="s">
        <v>19</v>
      </c>
      <c r="F315" s="6">
        <v>5</v>
      </c>
      <c r="G315" s="6">
        <v>1200</v>
      </c>
      <c r="H315" s="6">
        <f t="shared" si="4"/>
        <v>6000</v>
      </c>
    </row>
    <row r="316" spans="1:8" x14ac:dyDescent="0.5">
      <c r="A316" s="5">
        <v>328</v>
      </c>
      <c r="B316" s="3">
        <v>44413</v>
      </c>
      <c r="C316" s="5" t="s">
        <v>18</v>
      </c>
      <c r="D316" s="5" t="s">
        <v>13</v>
      </c>
      <c r="E316" s="5" t="s">
        <v>19</v>
      </c>
      <c r="F316" s="6">
        <v>5</v>
      </c>
      <c r="G316" s="6">
        <v>1200</v>
      </c>
      <c r="H316" s="6">
        <f t="shared" si="4"/>
        <v>6000</v>
      </c>
    </row>
    <row r="317" spans="1:8" x14ac:dyDescent="0.5">
      <c r="A317" s="5">
        <v>329</v>
      </c>
      <c r="B317" s="3">
        <v>44414</v>
      </c>
      <c r="C317" s="5" t="s">
        <v>18</v>
      </c>
      <c r="D317" s="5" t="s">
        <v>9</v>
      </c>
      <c r="E317" s="5" t="s">
        <v>19</v>
      </c>
      <c r="F317" s="6">
        <v>5</v>
      </c>
      <c r="G317" s="6">
        <v>1200</v>
      </c>
      <c r="H317" s="6">
        <f t="shared" si="4"/>
        <v>6000</v>
      </c>
    </row>
    <row r="318" spans="1:8" x14ac:dyDescent="0.5">
      <c r="A318" s="5">
        <v>330</v>
      </c>
      <c r="B318" s="3">
        <v>44417</v>
      </c>
      <c r="C318" s="5" t="s">
        <v>18</v>
      </c>
      <c r="D318" s="5" t="s">
        <v>14</v>
      </c>
      <c r="E318" s="5" t="s">
        <v>19</v>
      </c>
      <c r="F318" s="6">
        <v>5</v>
      </c>
      <c r="G318" s="6">
        <v>1200</v>
      </c>
      <c r="H318" s="6">
        <f t="shared" si="4"/>
        <v>6000</v>
      </c>
    </row>
    <row r="319" spans="1:8" x14ac:dyDescent="0.5">
      <c r="A319" s="5">
        <v>331</v>
      </c>
      <c r="B319" s="3">
        <v>44421</v>
      </c>
      <c r="C319" s="5" t="s">
        <v>18</v>
      </c>
      <c r="D319" s="5" t="s">
        <v>9</v>
      </c>
      <c r="E319" s="5" t="s">
        <v>19</v>
      </c>
      <c r="F319" s="6">
        <v>5</v>
      </c>
      <c r="G319" s="6">
        <v>1200</v>
      </c>
      <c r="H319" s="6">
        <f t="shared" si="4"/>
        <v>6000</v>
      </c>
    </row>
    <row r="320" spans="1:8" x14ac:dyDescent="0.5">
      <c r="A320" s="5">
        <v>332</v>
      </c>
      <c r="B320" s="3">
        <v>44425</v>
      </c>
      <c r="C320" s="5" t="s">
        <v>18</v>
      </c>
      <c r="D320" s="5" t="s">
        <v>9</v>
      </c>
      <c r="E320" s="5" t="s">
        <v>19</v>
      </c>
      <c r="F320" s="6">
        <v>5</v>
      </c>
      <c r="G320" s="6">
        <v>1200</v>
      </c>
      <c r="H320" s="6">
        <f t="shared" si="4"/>
        <v>6000</v>
      </c>
    </row>
    <row r="321" spans="1:8" x14ac:dyDescent="0.5">
      <c r="A321" s="5">
        <v>333</v>
      </c>
      <c r="B321" s="3">
        <v>44428</v>
      </c>
      <c r="C321" s="5" t="s">
        <v>18</v>
      </c>
      <c r="D321" s="5" t="s">
        <v>9</v>
      </c>
      <c r="E321" s="5" t="s">
        <v>19</v>
      </c>
      <c r="F321" s="6">
        <v>5</v>
      </c>
      <c r="G321" s="6">
        <v>1200</v>
      </c>
      <c r="H321" s="6">
        <f t="shared" si="4"/>
        <v>6000</v>
      </c>
    </row>
    <row r="322" spans="1:8" x14ac:dyDescent="0.5">
      <c r="A322" s="5">
        <v>334</v>
      </c>
      <c r="B322" s="3">
        <v>44431</v>
      </c>
      <c r="C322" s="5" t="s">
        <v>18</v>
      </c>
      <c r="D322" s="5" t="s">
        <v>12</v>
      </c>
      <c r="E322" s="5" t="s">
        <v>19</v>
      </c>
      <c r="F322" s="6">
        <v>5</v>
      </c>
      <c r="G322" s="6">
        <v>1200</v>
      </c>
      <c r="H322" s="6">
        <f t="shared" ref="H322:H367" si="5">F322*G322</f>
        <v>6000</v>
      </c>
    </row>
    <row r="323" spans="1:8" x14ac:dyDescent="0.5">
      <c r="A323" s="5">
        <v>335</v>
      </c>
      <c r="B323" s="3">
        <v>44440</v>
      </c>
      <c r="C323" s="5" t="s">
        <v>18</v>
      </c>
      <c r="D323" s="5" t="s">
        <v>9</v>
      </c>
      <c r="E323" s="5" t="s">
        <v>10</v>
      </c>
      <c r="F323" s="6">
        <v>2</v>
      </c>
      <c r="G323" s="6">
        <v>2100</v>
      </c>
      <c r="H323" s="6">
        <f t="shared" si="5"/>
        <v>4200</v>
      </c>
    </row>
    <row r="324" spans="1:8" x14ac:dyDescent="0.5">
      <c r="A324" s="5">
        <v>336</v>
      </c>
      <c r="B324" s="3">
        <v>44441</v>
      </c>
      <c r="C324" s="5" t="s">
        <v>18</v>
      </c>
      <c r="D324" s="5" t="s">
        <v>14</v>
      </c>
      <c r="E324" s="5" t="s">
        <v>10</v>
      </c>
      <c r="F324" s="6">
        <v>2</v>
      </c>
      <c r="G324" s="6">
        <v>2100</v>
      </c>
      <c r="H324" s="6">
        <f t="shared" si="5"/>
        <v>4200</v>
      </c>
    </row>
    <row r="325" spans="1:8" x14ac:dyDescent="0.5">
      <c r="A325" s="5">
        <v>337</v>
      </c>
      <c r="B325" s="3">
        <v>44445</v>
      </c>
      <c r="C325" s="5" t="s">
        <v>18</v>
      </c>
      <c r="D325" s="5" t="s">
        <v>9</v>
      </c>
      <c r="E325" s="5" t="s">
        <v>10</v>
      </c>
      <c r="F325" s="6">
        <v>2</v>
      </c>
      <c r="G325" s="6">
        <v>2100</v>
      </c>
      <c r="H325" s="6">
        <f t="shared" si="5"/>
        <v>4200</v>
      </c>
    </row>
    <row r="326" spans="1:8" x14ac:dyDescent="0.5">
      <c r="A326" s="5">
        <v>338</v>
      </c>
      <c r="B326" s="3">
        <v>44448</v>
      </c>
      <c r="C326" s="5" t="s">
        <v>18</v>
      </c>
      <c r="D326" s="5" t="s">
        <v>9</v>
      </c>
      <c r="E326" s="5" t="s">
        <v>10</v>
      </c>
      <c r="F326" s="6">
        <v>2</v>
      </c>
      <c r="G326" s="6">
        <v>2100</v>
      </c>
      <c r="H326" s="6">
        <f t="shared" si="5"/>
        <v>4200</v>
      </c>
    </row>
    <row r="327" spans="1:8" x14ac:dyDescent="0.5">
      <c r="A327" s="5">
        <v>339</v>
      </c>
      <c r="B327" s="3">
        <v>44455</v>
      </c>
      <c r="C327" s="5" t="s">
        <v>18</v>
      </c>
      <c r="D327" s="5" t="s">
        <v>9</v>
      </c>
      <c r="E327" s="5" t="s">
        <v>21</v>
      </c>
      <c r="F327" s="6">
        <v>5</v>
      </c>
      <c r="G327" s="6">
        <v>300</v>
      </c>
      <c r="H327" s="6">
        <f t="shared" si="5"/>
        <v>1500</v>
      </c>
    </row>
    <row r="328" spans="1:8" x14ac:dyDescent="0.5">
      <c r="A328" s="5">
        <v>340</v>
      </c>
      <c r="B328" s="3">
        <v>44461</v>
      </c>
      <c r="C328" s="5" t="s">
        <v>18</v>
      </c>
      <c r="D328" s="5" t="s">
        <v>9</v>
      </c>
      <c r="E328" s="5" t="s">
        <v>22</v>
      </c>
      <c r="F328" s="6">
        <v>7</v>
      </c>
      <c r="G328" s="6">
        <v>210</v>
      </c>
      <c r="H328" s="6">
        <f t="shared" si="5"/>
        <v>1470</v>
      </c>
    </row>
    <row r="329" spans="1:8" x14ac:dyDescent="0.5">
      <c r="A329" s="5">
        <v>341</v>
      </c>
      <c r="B329" s="3">
        <v>44475</v>
      </c>
      <c r="C329" s="5" t="s">
        <v>18</v>
      </c>
      <c r="D329" s="5" t="s">
        <v>9</v>
      </c>
      <c r="E329" s="5" t="s">
        <v>22</v>
      </c>
      <c r="F329" s="6">
        <v>7</v>
      </c>
      <c r="G329" s="6">
        <v>210</v>
      </c>
      <c r="H329" s="6">
        <f t="shared" si="5"/>
        <v>1470</v>
      </c>
    </row>
    <row r="330" spans="1:8" x14ac:dyDescent="0.5">
      <c r="A330" s="5">
        <v>342</v>
      </c>
      <c r="B330" s="3">
        <v>44480</v>
      </c>
      <c r="C330" s="5" t="s">
        <v>18</v>
      </c>
      <c r="D330" s="5" t="s">
        <v>9</v>
      </c>
      <c r="E330" s="5" t="s">
        <v>22</v>
      </c>
      <c r="F330" s="6">
        <v>7</v>
      </c>
      <c r="G330" s="6">
        <v>210</v>
      </c>
      <c r="H330" s="6">
        <f t="shared" si="5"/>
        <v>1470</v>
      </c>
    </row>
    <row r="331" spans="1:8" x14ac:dyDescent="0.5">
      <c r="A331" s="5">
        <v>343</v>
      </c>
      <c r="B331" s="3">
        <v>44483</v>
      </c>
      <c r="C331" s="5" t="s">
        <v>18</v>
      </c>
      <c r="D331" s="5" t="s">
        <v>13</v>
      </c>
      <c r="E331" s="5" t="s">
        <v>22</v>
      </c>
      <c r="F331" s="6">
        <v>7</v>
      </c>
      <c r="G331" s="6">
        <v>210</v>
      </c>
      <c r="H331" s="6">
        <f t="shared" si="5"/>
        <v>1470</v>
      </c>
    </row>
    <row r="332" spans="1:8" x14ac:dyDescent="0.5">
      <c r="A332" s="5">
        <v>344</v>
      </c>
      <c r="B332" s="3">
        <v>44494</v>
      </c>
      <c r="C332" s="5" t="s">
        <v>18</v>
      </c>
      <c r="D332" s="5" t="s">
        <v>12</v>
      </c>
      <c r="E332" s="5" t="s">
        <v>22</v>
      </c>
      <c r="F332" s="6">
        <v>7</v>
      </c>
      <c r="G332" s="6">
        <v>210</v>
      </c>
      <c r="H332" s="6">
        <f t="shared" si="5"/>
        <v>1470</v>
      </c>
    </row>
    <row r="333" spans="1:8" x14ac:dyDescent="0.5">
      <c r="A333" s="5">
        <v>345</v>
      </c>
      <c r="B333" s="3">
        <v>44501</v>
      </c>
      <c r="C333" s="5" t="s">
        <v>18</v>
      </c>
      <c r="D333" s="5" t="s">
        <v>9</v>
      </c>
      <c r="E333" s="5" t="s">
        <v>21</v>
      </c>
      <c r="F333" s="6">
        <v>4</v>
      </c>
      <c r="G333" s="6">
        <v>300</v>
      </c>
      <c r="H333" s="6">
        <f t="shared" si="5"/>
        <v>1200</v>
      </c>
    </row>
    <row r="334" spans="1:8" x14ac:dyDescent="0.5">
      <c r="A334" s="5">
        <v>346</v>
      </c>
      <c r="B334" s="3">
        <v>44519</v>
      </c>
      <c r="C334" s="5" t="s">
        <v>18</v>
      </c>
      <c r="D334" s="5" t="s">
        <v>9</v>
      </c>
      <c r="E334" s="5" t="s">
        <v>21</v>
      </c>
      <c r="F334" s="6">
        <v>4</v>
      </c>
      <c r="G334" s="6">
        <v>300</v>
      </c>
      <c r="H334" s="6">
        <f t="shared" si="5"/>
        <v>1200</v>
      </c>
    </row>
    <row r="335" spans="1:8" x14ac:dyDescent="0.5">
      <c r="A335" s="5">
        <v>347</v>
      </c>
      <c r="B335" s="3">
        <v>44526</v>
      </c>
      <c r="C335" s="5" t="s">
        <v>18</v>
      </c>
      <c r="D335" s="5" t="s">
        <v>9</v>
      </c>
      <c r="E335" s="5" t="s">
        <v>21</v>
      </c>
      <c r="F335" s="6">
        <v>4</v>
      </c>
      <c r="G335" s="6">
        <v>300</v>
      </c>
      <c r="H335" s="6">
        <f t="shared" si="5"/>
        <v>1200</v>
      </c>
    </row>
    <row r="336" spans="1:8" x14ac:dyDescent="0.5">
      <c r="A336" s="5">
        <v>348</v>
      </c>
      <c r="B336" s="3">
        <v>44537</v>
      </c>
      <c r="C336" s="5" t="s">
        <v>18</v>
      </c>
      <c r="D336" s="5" t="s">
        <v>9</v>
      </c>
      <c r="E336" s="5" t="s">
        <v>21</v>
      </c>
      <c r="F336" s="6">
        <v>3</v>
      </c>
      <c r="G336" s="6">
        <v>300</v>
      </c>
      <c r="H336" s="6">
        <f t="shared" si="5"/>
        <v>900</v>
      </c>
    </row>
    <row r="337" spans="1:8" x14ac:dyDescent="0.5">
      <c r="A337" s="5">
        <v>349</v>
      </c>
      <c r="B337" s="3">
        <v>44557</v>
      </c>
      <c r="C337" s="5" t="s">
        <v>18</v>
      </c>
      <c r="D337" s="5" t="s">
        <v>9</v>
      </c>
      <c r="E337" s="5" t="s">
        <v>21</v>
      </c>
      <c r="F337" s="6">
        <v>3</v>
      </c>
      <c r="G337" s="6">
        <v>300</v>
      </c>
      <c r="H337" s="6">
        <f t="shared" si="5"/>
        <v>900</v>
      </c>
    </row>
    <row r="338" spans="1:8" x14ac:dyDescent="0.5">
      <c r="A338" s="5">
        <v>350</v>
      </c>
      <c r="B338" s="3">
        <v>44558</v>
      </c>
      <c r="C338" s="5" t="s">
        <v>18</v>
      </c>
      <c r="D338" s="5" t="s">
        <v>13</v>
      </c>
      <c r="E338" s="5" t="s">
        <v>21</v>
      </c>
      <c r="F338" s="6">
        <v>3</v>
      </c>
      <c r="G338" s="6">
        <v>300</v>
      </c>
      <c r="H338" s="6">
        <f t="shared" si="5"/>
        <v>900</v>
      </c>
    </row>
    <row r="339" spans="1:8" x14ac:dyDescent="0.5">
      <c r="A339" s="5">
        <v>351</v>
      </c>
      <c r="B339" s="3">
        <v>44561</v>
      </c>
      <c r="C339" s="5" t="s">
        <v>18</v>
      </c>
      <c r="D339" s="5" t="s">
        <v>13</v>
      </c>
      <c r="E339" s="5" t="s">
        <v>21</v>
      </c>
      <c r="F339" s="6">
        <v>3</v>
      </c>
      <c r="G339" s="6">
        <v>300</v>
      </c>
      <c r="H339" s="6">
        <f t="shared" si="5"/>
        <v>900</v>
      </c>
    </row>
    <row r="340" spans="1:8" x14ac:dyDescent="0.5">
      <c r="A340" s="5">
        <v>352</v>
      </c>
      <c r="B340" s="3">
        <v>44588</v>
      </c>
      <c r="C340" s="5" t="s">
        <v>18</v>
      </c>
      <c r="D340" s="5" t="s">
        <v>12</v>
      </c>
      <c r="E340" s="5" t="s">
        <v>22</v>
      </c>
      <c r="F340" s="6">
        <v>3</v>
      </c>
      <c r="G340" s="6">
        <v>190</v>
      </c>
      <c r="H340" s="6">
        <f t="shared" si="5"/>
        <v>570</v>
      </c>
    </row>
    <row r="341" spans="1:8" x14ac:dyDescent="0.5">
      <c r="A341" s="5">
        <v>353</v>
      </c>
      <c r="B341" s="3">
        <v>44595</v>
      </c>
      <c r="C341" s="5" t="s">
        <v>18</v>
      </c>
      <c r="D341" s="5" t="s">
        <v>9</v>
      </c>
      <c r="E341" s="5" t="s">
        <v>22</v>
      </c>
      <c r="F341" s="6">
        <v>3</v>
      </c>
      <c r="G341" s="6">
        <v>190</v>
      </c>
      <c r="H341" s="6">
        <f t="shared" si="5"/>
        <v>570</v>
      </c>
    </row>
    <row r="342" spans="1:8" x14ac:dyDescent="0.5">
      <c r="A342" s="5">
        <v>354</v>
      </c>
      <c r="B342" s="3">
        <v>44602</v>
      </c>
      <c r="C342" s="5" t="s">
        <v>18</v>
      </c>
      <c r="D342" s="5" t="s">
        <v>9</v>
      </c>
      <c r="E342" s="5" t="s">
        <v>22</v>
      </c>
      <c r="F342" s="6">
        <v>3</v>
      </c>
      <c r="G342" s="6">
        <v>190</v>
      </c>
      <c r="H342" s="6">
        <f t="shared" si="5"/>
        <v>570</v>
      </c>
    </row>
    <row r="343" spans="1:8" x14ac:dyDescent="0.5">
      <c r="A343" s="5">
        <v>355</v>
      </c>
      <c r="B343" s="3">
        <v>44615</v>
      </c>
      <c r="C343" s="5" t="s">
        <v>18</v>
      </c>
      <c r="D343" s="5" t="s">
        <v>9</v>
      </c>
      <c r="E343" s="5" t="s">
        <v>23</v>
      </c>
      <c r="F343" s="6">
        <v>3</v>
      </c>
      <c r="G343" s="6">
        <v>190</v>
      </c>
      <c r="H343" s="6">
        <f t="shared" si="5"/>
        <v>570</v>
      </c>
    </row>
    <row r="344" spans="1:8" x14ac:dyDescent="0.5">
      <c r="A344" s="5">
        <v>356</v>
      </c>
      <c r="B344" s="3">
        <v>44620</v>
      </c>
      <c r="C344" s="5" t="s">
        <v>18</v>
      </c>
      <c r="D344" s="5" t="s">
        <v>12</v>
      </c>
      <c r="E344" s="5" t="s">
        <v>23</v>
      </c>
      <c r="F344" s="6">
        <v>3</v>
      </c>
      <c r="G344" s="6">
        <v>190</v>
      </c>
      <c r="H344" s="6">
        <f t="shared" si="5"/>
        <v>570</v>
      </c>
    </row>
    <row r="345" spans="1:8" x14ac:dyDescent="0.5">
      <c r="A345" s="5">
        <v>357</v>
      </c>
      <c r="B345" s="3">
        <v>44621</v>
      </c>
      <c r="C345" s="5" t="s">
        <v>18</v>
      </c>
      <c r="D345" s="5" t="s">
        <v>9</v>
      </c>
      <c r="E345" s="5" t="s">
        <v>22</v>
      </c>
      <c r="F345" s="6">
        <v>2</v>
      </c>
      <c r="G345" s="6">
        <v>210</v>
      </c>
      <c r="H345" s="6">
        <f t="shared" si="5"/>
        <v>420</v>
      </c>
    </row>
    <row r="346" spans="1:8" x14ac:dyDescent="0.5">
      <c r="A346" s="5">
        <v>358</v>
      </c>
      <c r="B346" s="3">
        <v>44622</v>
      </c>
      <c r="C346" s="5" t="s">
        <v>18</v>
      </c>
      <c r="D346" s="5" t="s">
        <v>9</v>
      </c>
      <c r="E346" s="5" t="s">
        <v>22</v>
      </c>
      <c r="F346" s="6">
        <v>2</v>
      </c>
      <c r="G346" s="6">
        <v>210</v>
      </c>
      <c r="H346" s="6">
        <f t="shared" si="5"/>
        <v>420</v>
      </c>
    </row>
    <row r="347" spans="1:8" x14ac:dyDescent="0.5">
      <c r="A347" s="5">
        <v>359</v>
      </c>
      <c r="B347" s="3">
        <v>44629</v>
      </c>
      <c r="C347" s="5" t="s">
        <v>18</v>
      </c>
      <c r="D347" s="5" t="s">
        <v>9</v>
      </c>
      <c r="E347" s="5" t="s">
        <v>22</v>
      </c>
      <c r="F347" s="6">
        <v>2</v>
      </c>
      <c r="G347" s="6">
        <v>210</v>
      </c>
      <c r="H347" s="6">
        <f t="shared" si="5"/>
        <v>420</v>
      </c>
    </row>
    <row r="348" spans="1:8" x14ac:dyDescent="0.5">
      <c r="A348" s="5">
        <v>360</v>
      </c>
      <c r="B348" s="3">
        <v>44642</v>
      </c>
      <c r="C348" s="5" t="s">
        <v>18</v>
      </c>
      <c r="D348" s="5" t="s">
        <v>9</v>
      </c>
      <c r="E348" s="5" t="s">
        <v>22</v>
      </c>
      <c r="F348" s="6">
        <v>2</v>
      </c>
      <c r="G348" s="6">
        <v>210</v>
      </c>
      <c r="H348" s="6">
        <f t="shared" si="5"/>
        <v>420</v>
      </c>
    </row>
    <row r="349" spans="1:8" x14ac:dyDescent="0.5">
      <c r="A349" s="5">
        <v>361</v>
      </c>
      <c r="B349" s="3">
        <v>44644</v>
      </c>
      <c r="C349" s="5" t="s">
        <v>18</v>
      </c>
      <c r="D349" s="5" t="s">
        <v>9</v>
      </c>
      <c r="E349" s="5" t="s">
        <v>22</v>
      </c>
      <c r="F349" s="6">
        <v>2</v>
      </c>
      <c r="G349" s="6">
        <v>210</v>
      </c>
      <c r="H349" s="6">
        <f t="shared" si="5"/>
        <v>420</v>
      </c>
    </row>
    <row r="350" spans="1:8" x14ac:dyDescent="0.5">
      <c r="A350" s="5">
        <v>362</v>
      </c>
      <c r="B350" s="3">
        <v>44651</v>
      </c>
      <c r="C350" s="5" t="s">
        <v>18</v>
      </c>
      <c r="D350" s="5" t="s">
        <v>9</v>
      </c>
      <c r="E350" s="5" t="s">
        <v>22</v>
      </c>
      <c r="F350" s="6">
        <v>2</v>
      </c>
      <c r="G350" s="6">
        <v>210</v>
      </c>
      <c r="H350" s="6">
        <f t="shared" si="5"/>
        <v>420</v>
      </c>
    </row>
    <row r="351" spans="1:8" x14ac:dyDescent="0.5">
      <c r="A351" s="5">
        <v>363</v>
      </c>
      <c r="B351" s="3">
        <v>44655</v>
      </c>
      <c r="C351" s="5" t="s">
        <v>18</v>
      </c>
      <c r="D351" s="5" t="s">
        <v>13</v>
      </c>
      <c r="E351" s="5" t="s">
        <v>22</v>
      </c>
      <c r="F351" s="6">
        <v>2</v>
      </c>
      <c r="G351" s="6">
        <v>210</v>
      </c>
      <c r="H351" s="6">
        <f t="shared" si="5"/>
        <v>420</v>
      </c>
    </row>
    <row r="352" spans="1:8" x14ac:dyDescent="0.5">
      <c r="A352" s="5">
        <v>364</v>
      </c>
      <c r="B352" s="3">
        <v>44656</v>
      </c>
      <c r="C352" s="7" t="s">
        <v>18</v>
      </c>
      <c r="D352" s="7" t="s">
        <v>14</v>
      </c>
      <c r="E352" s="7" t="s">
        <v>22</v>
      </c>
      <c r="F352" s="8">
        <v>2</v>
      </c>
      <c r="G352" s="8">
        <v>210</v>
      </c>
      <c r="H352" s="8">
        <f t="shared" si="5"/>
        <v>420</v>
      </c>
    </row>
    <row r="353" spans="1:8" x14ac:dyDescent="0.5">
      <c r="A353" s="5">
        <v>365</v>
      </c>
      <c r="B353" s="3">
        <v>44657</v>
      </c>
      <c r="C353" s="5" t="s">
        <v>18</v>
      </c>
      <c r="D353" s="5" t="s">
        <v>9</v>
      </c>
      <c r="E353" s="5" t="s">
        <v>22</v>
      </c>
      <c r="F353" s="6">
        <v>2</v>
      </c>
      <c r="G353" s="6">
        <v>210</v>
      </c>
      <c r="H353" s="6">
        <f t="shared" si="5"/>
        <v>420</v>
      </c>
    </row>
    <row r="354" spans="1:8" x14ac:dyDescent="0.5">
      <c r="A354" s="5">
        <v>366</v>
      </c>
      <c r="B354" s="3">
        <v>44658</v>
      </c>
      <c r="C354" s="5" t="s">
        <v>18</v>
      </c>
      <c r="D354" s="5" t="s">
        <v>12</v>
      </c>
      <c r="E354" s="5" t="s">
        <v>22</v>
      </c>
      <c r="F354" s="6">
        <v>2</v>
      </c>
      <c r="G354" s="6">
        <v>210</v>
      </c>
      <c r="H354" s="6">
        <f t="shared" si="5"/>
        <v>420</v>
      </c>
    </row>
    <row r="355" spans="1:8" x14ac:dyDescent="0.5">
      <c r="A355" s="5">
        <v>367</v>
      </c>
      <c r="B355" s="3">
        <v>44659</v>
      </c>
      <c r="C355" s="5" t="s">
        <v>18</v>
      </c>
      <c r="D355" s="5" t="s">
        <v>13</v>
      </c>
      <c r="E355" s="5" t="s">
        <v>22</v>
      </c>
      <c r="F355" s="6">
        <v>2</v>
      </c>
      <c r="G355" s="6">
        <v>210</v>
      </c>
      <c r="H355" s="6">
        <f t="shared" si="5"/>
        <v>420</v>
      </c>
    </row>
    <row r="356" spans="1:8" x14ac:dyDescent="0.5">
      <c r="A356" s="5">
        <v>368</v>
      </c>
      <c r="B356" s="3">
        <v>44662</v>
      </c>
      <c r="C356" s="5" t="s">
        <v>18</v>
      </c>
      <c r="D356" s="5" t="s">
        <v>14</v>
      </c>
      <c r="E356" s="5" t="s">
        <v>22</v>
      </c>
      <c r="F356" s="6">
        <v>2</v>
      </c>
      <c r="G356" s="6">
        <v>210</v>
      </c>
      <c r="H356" s="6">
        <f t="shared" si="5"/>
        <v>420</v>
      </c>
    </row>
    <row r="357" spans="1:8" x14ac:dyDescent="0.5">
      <c r="A357" s="5">
        <v>369</v>
      </c>
      <c r="B357" s="3">
        <v>44670</v>
      </c>
      <c r="C357" s="5" t="s">
        <v>18</v>
      </c>
      <c r="D357" s="5" t="s">
        <v>9</v>
      </c>
      <c r="E357" s="5" t="s">
        <v>22</v>
      </c>
      <c r="F357" s="6">
        <v>2</v>
      </c>
      <c r="G357" s="6">
        <v>210</v>
      </c>
      <c r="H357" s="6">
        <f t="shared" si="5"/>
        <v>420</v>
      </c>
    </row>
    <row r="358" spans="1:8" x14ac:dyDescent="0.5">
      <c r="A358" s="5">
        <v>370</v>
      </c>
      <c r="B358" s="3">
        <v>44672</v>
      </c>
      <c r="C358" s="5" t="s">
        <v>18</v>
      </c>
      <c r="D358" s="5" t="s">
        <v>9</v>
      </c>
      <c r="E358" s="5" t="s">
        <v>23</v>
      </c>
      <c r="F358" s="6">
        <v>2</v>
      </c>
      <c r="G358" s="6">
        <v>190</v>
      </c>
      <c r="H358" s="6">
        <f t="shared" si="5"/>
        <v>380</v>
      </c>
    </row>
    <row r="359" spans="1:8" x14ac:dyDescent="0.5">
      <c r="A359" s="5">
        <v>371</v>
      </c>
      <c r="B359" s="3">
        <v>44673</v>
      </c>
      <c r="C359" s="5" t="s">
        <v>18</v>
      </c>
      <c r="D359" s="5" t="s">
        <v>12</v>
      </c>
      <c r="E359" s="5" t="s">
        <v>23</v>
      </c>
      <c r="F359" s="6">
        <v>2</v>
      </c>
      <c r="G359" s="6">
        <v>190</v>
      </c>
      <c r="H359" s="6">
        <f t="shared" si="5"/>
        <v>380</v>
      </c>
    </row>
    <row r="360" spans="1:8" x14ac:dyDescent="0.5">
      <c r="A360" s="5">
        <v>372</v>
      </c>
      <c r="B360" s="3">
        <v>44683</v>
      </c>
      <c r="C360" s="5" t="s">
        <v>18</v>
      </c>
      <c r="D360" s="5" t="s">
        <v>12</v>
      </c>
      <c r="E360" s="5" t="s">
        <v>23</v>
      </c>
      <c r="F360" s="6">
        <v>2</v>
      </c>
      <c r="G360" s="6">
        <v>190</v>
      </c>
      <c r="H360" s="6">
        <f t="shared" si="5"/>
        <v>380</v>
      </c>
    </row>
    <row r="361" spans="1:8" x14ac:dyDescent="0.5">
      <c r="A361" s="5">
        <v>373</v>
      </c>
      <c r="B361" s="3">
        <v>44686</v>
      </c>
      <c r="C361" s="5" t="s">
        <v>18</v>
      </c>
      <c r="D361" s="5" t="s">
        <v>12</v>
      </c>
      <c r="E361" s="5" t="s">
        <v>23</v>
      </c>
      <c r="F361" s="6">
        <v>2</v>
      </c>
      <c r="G361" s="6">
        <v>190</v>
      </c>
      <c r="H361" s="6">
        <f t="shared" si="5"/>
        <v>380</v>
      </c>
    </row>
    <row r="362" spans="1:8" x14ac:dyDescent="0.5">
      <c r="A362" s="5">
        <v>374</v>
      </c>
      <c r="B362" s="3">
        <v>44687</v>
      </c>
      <c r="C362" s="5" t="s">
        <v>18</v>
      </c>
      <c r="D362" s="5" t="s">
        <v>14</v>
      </c>
      <c r="E362" s="5" t="s">
        <v>23</v>
      </c>
      <c r="F362" s="6">
        <v>2</v>
      </c>
      <c r="G362" s="6">
        <v>190</v>
      </c>
      <c r="H362" s="6">
        <f t="shared" si="5"/>
        <v>380</v>
      </c>
    </row>
    <row r="363" spans="1:8" x14ac:dyDescent="0.5">
      <c r="A363" s="5">
        <v>375</v>
      </c>
      <c r="B363" s="3">
        <v>44690</v>
      </c>
      <c r="C363" s="5" t="s">
        <v>18</v>
      </c>
      <c r="D363" s="5" t="s">
        <v>9</v>
      </c>
      <c r="E363" s="5" t="s">
        <v>23</v>
      </c>
      <c r="F363" s="6">
        <v>2</v>
      </c>
      <c r="G363" s="6">
        <v>190</v>
      </c>
      <c r="H363" s="6">
        <f t="shared" si="5"/>
        <v>380</v>
      </c>
    </row>
    <row r="364" spans="1:8" x14ac:dyDescent="0.5">
      <c r="A364" s="5">
        <v>376</v>
      </c>
      <c r="B364" s="3">
        <v>44692</v>
      </c>
      <c r="C364" s="5" t="s">
        <v>18</v>
      </c>
      <c r="D364" s="5" t="s">
        <v>14</v>
      </c>
      <c r="E364" s="5" t="s">
        <v>23</v>
      </c>
      <c r="F364" s="6">
        <v>2</v>
      </c>
      <c r="G364" s="6">
        <v>190</v>
      </c>
      <c r="H364" s="6">
        <f t="shared" si="5"/>
        <v>380</v>
      </c>
    </row>
    <row r="365" spans="1:8" x14ac:dyDescent="0.5">
      <c r="A365" s="5">
        <v>377</v>
      </c>
      <c r="B365" s="3">
        <v>44699</v>
      </c>
      <c r="C365" s="5" t="s">
        <v>18</v>
      </c>
      <c r="D365" s="5" t="s">
        <v>14</v>
      </c>
      <c r="E365" s="5" t="s">
        <v>23</v>
      </c>
      <c r="F365" s="6">
        <v>2</v>
      </c>
      <c r="G365" s="6">
        <v>190</v>
      </c>
      <c r="H365" s="6">
        <f t="shared" si="5"/>
        <v>380</v>
      </c>
    </row>
    <row r="366" spans="1:8" x14ac:dyDescent="0.5">
      <c r="A366" s="5">
        <v>378</v>
      </c>
      <c r="B366" s="3">
        <v>44718</v>
      </c>
      <c r="C366" s="5" t="s">
        <v>18</v>
      </c>
      <c r="D366" s="5" t="s">
        <v>14</v>
      </c>
      <c r="E366" s="5" t="s">
        <v>23</v>
      </c>
      <c r="F366" s="6">
        <v>2</v>
      </c>
      <c r="G366" s="6">
        <v>190</v>
      </c>
      <c r="H366" s="6">
        <f t="shared" si="5"/>
        <v>380</v>
      </c>
    </row>
    <row r="367" spans="1:8" x14ac:dyDescent="0.5">
      <c r="A367" s="5">
        <v>379</v>
      </c>
      <c r="B367" s="3">
        <v>44719</v>
      </c>
      <c r="C367" s="5" t="s">
        <v>18</v>
      </c>
      <c r="D367" s="5" t="s">
        <v>9</v>
      </c>
      <c r="E367" s="5" t="s">
        <v>23</v>
      </c>
      <c r="F367" s="6">
        <v>2</v>
      </c>
      <c r="G367" s="6">
        <v>190</v>
      </c>
      <c r="H367" s="6">
        <f t="shared" si="5"/>
        <v>380</v>
      </c>
    </row>
  </sheetData>
  <sortState xmlns:xlrd2="http://schemas.microsoft.com/office/spreadsheetml/2017/richdata2" ref="A2:H367">
    <sortCondition ref="C2:C36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0BD78-36AD-4F3D-9526-03EAF7D0B432}">
  <sheetPr codeName="Sheet3"/>
  <dimension ref="A3:O71"/>
  <sheetViews>
    <sheetView workbookViewId="0">
      <selection activeCell="F72" sqref="F72"/>
    </sheetView>
  </sheetViews>
  <sheetFormatPr defaultRowHeight="18" x14ac:dyDescent="0.5"/>
  <cols>
    <col min="1" max="1" width="11.77734375" bestFit="1" customWidth="1"/>
    <col min="2" max="3" width="16.21875" bestFit="1" customWidth="1"/>
    <col min="4" max="4" width="14" bestFit="1" customWidth="1"/>
    <col min="5" max="6" width="13.21875" bestFit="1" customWidth="1"/>
    <col min="7" max="7" width="14" bestFit="1" customWidth="1"/>
    <col min="8" max="9" width="16.21875" bestFit="1" customWidth="1"/>
    <col min="10" max="10" width="14" bestFit="1" customWidth="1"/>
    <col min="11" max="11" width="16.21875" bestFit="1" customWidth="1"/>
    <col min="12" max="12" width="13.21875" bestFit="1" customWidth="1"/>
    <col min="14" max="14" width="14" bestFit="1" customWidth="1"/>
    <col min="15" max="15" width="11.77734375" bestFit="1" customWidth="1"/>
  </cols>
  <sheetData>
    <row r="3" spans="1:15" x14ac:dyDescent="0.5">
      <c r="A3" s="9" t="s">
        <v>26</v>
      </c>
      <c r="B3" t="s">
        <v>29</v>
      </c>
      <c r="D3" s="9" t="s">
        <v>26</v>
      </c>
      <c r="E3" t="s">
        <v>28</v>
      </c>
      <c r="G3" s="9" t="s">
        <v>26</v>
      </c>
      <c r="H3" t="s">
        <v>30</v>
      </c>
      <c r="J3" s="9" t="s">
        <v>26</v>
      </c>
      <c r="K3" t="s">
        <v>30</v>
      </c>
      <c r="N3" s="9" t="s">
        <v>26</v>
      </c>
      <c r="O3" t="s">
        <v>30</v>
      </c>
    </row>
    <row r="4" spans="1:15" x14ac:dyDescent="0.5">
      <c r="A4" s="10" t="s">
        <v>23</v>
      </c>
      <c r="B4" s="11">
        <v>1.3991349374204081E-2</v>
      </c>
      <c r="D4" s="10" t="s">
        <v>9</v>
      </c>
      <c r="E4" s="12">
        <v>143890</v>
      </c>
      <c r="G4" s="10" t="s">
        <v>24</v>
      </c>
      <c r="H4" s="2">
        <v>2</v>
      </c>
      <c r="J4" s="10" t="s">
        <v>23</v>
      </c>
      <c r="K4" s="2">
        <v>130</v>
      </c>
      <c r="N4" s="10" t="s">
        <v>9</v>
      </c>
      <c r="O4" s="13">
        <v>735</v>
      </c>
    </row>
    <row r="5" spans="1:15" x14ac:dyDescent="0.5">
      <c r="A5" s="10" t="s">
        <v>19</v>
      </c>
      <c r="B5" s="11">
        <v>0.19017912742001536</v>
      </c>
      <c r="D5" s="10" t="s">
        <v>13</v>
      </c>
      <c r="E5" s="12">
        <v>35820</v>
      </c>
      <c r="G5" s="10" t="s">
        <v>8</v>
      </c>
      <c r="H5" s="2">
        <v>394</v>
      </c>
      <c r="J5" s="10" t="s">
        <v>19</v>
      </c>
      <c r="K5" s="2">
        <v>251</v>
      </c>
      <c r="N5" s="10" t="s">
        <v>13</v>
      </c>
      <c r="O5" s="13">
        <v>189</v>
      </c>
    </row>
    <row r="6" spans="1:15" x14ac:dyDescent="0.5">
      <c r="A6" s="10" t="s">
        <v>22</v>
      </c>
      <c r="B6" s="11">
        <v>3.7110174863817159E-2</v>
      </c>
      <c r="D6" s="10" t="s">
        <v>14</v>
      </c>
      <c r="E6" s="12">
        <v>64070</v>
      </c>
      <c r="G6" s="10" t="s">
        <v>16</v>
      </c>
      <c r="H6" s="2">
        <v>146</v>
      </c>
      <c r="J6" s="10" t="s">
        <v>22</v>
      </c>
      <c r="K6" s="2">
        <v>319</v>
      </c>
      <c r="N6" s="10" t="s">
        <v>14</v>
      </c>
      <c r="O6" s="13">
        <v>272</v>
      </c>
    </row>
    <row r="7" spans="1:15" x14ac:dyDescent="0.5">
      <c r="A7" s="10" t="s">
        <v>10</v>
      </c>
      <c r="B7" s="11">
        <v>0.52444559137854618</v>
      </c>
      <c r="D7" s="10" t="s">
        <v>12</v>
      </c>
      <c r="E7" s="12">
        <v>91740</v>
      </c>
      <c r="G7" s="10" t="s">
        <v>17</v>
      </c>
      <c r="H7" s="2">
        <v>142</v>
      </c>
      <c r="J7" s="10" t="s">
        <v>10</v>
      </c>
      <c r="K7" s="2">
        <v>447</v>
      </c>
      <c r="N7" s="10" t="s">
        <v>12</v>
      </c>
      <c r="O7" s="13">
        <v>411</v>
      </c>
    </row>
    <row r="8" spans="1:15" x14ac:dyDescent="0.5">
      <c r="A8" s="10" t="s">
        <v>20</v>
      </c>
      <c r="B8" s="11">
        <v>0.19758433238150269</v>
      </c>
      <c r="D8" s="10" t="s">
        <v>27</v>
      </c>
      <c r="E8" s="12">
        <v>335520</v>
      </c>
      <c r="G8" s="10" t="s">
        <v>15</v>
      </c>
      <c r="H8" s="2">
        <v>144</v>
      </c>
      <c r="J8" s="10" t="s">
        <v>20</v>
      </c>
      <c r="K8" s="2">
        <v>242</v>
      </c>
      <c r="N8" s="10" t="s">
        <v>27</v>
      </c>
      <c r="O8" s="2">
        <v>1607</v>
      </c>
    </row>
    <row r="9" spans="1:15" x14ac:dyDescent="0.5">
      <c r="A9" s="10" t="s">
        <v>21</v>
      </c>
      <c r="B9" s="11">
        <v>3.6689424581914473E-2</v>
      </c>
      <c r="G9" s="10" t="s">
        <v>11</v>
      </c>
      <c r="H9" s="2">
        <v>360</v>
      </c>
      <c r="J9" s="10" t="s">
        <v>21</v>
      </c>
      <c r="K9" s="2">
        <v>218</v>
      </c>
    </row>
    <row r="10" spans="1:15" x14ac:dyDescent="0.5">
      <c r="A10" s="10" t="s">
        <v>27</v>
      </c>
      <c r="B10" s="11">
        <v>1</v>
      </c>
      <c r="G10" s="10" t="s">
        <v>18</v>
      </c>
      <c r="H10" s="2">
        <v>419</v>
      </c>
      <c r="J10" s="10" t="s">
        <v>27</v>
      </c>
      <c r="K10" s="2">
        <v>1607</v>
      </c>
    </row>
    <row r="11" spans="1:15" x14ac:dyDescent="0.5">
      <c r="G11" s="10" t="s">
        <v>27</v>
      </c>
      <c r="H11" s="2">
        <v>1607</v>
      </c>
    </row>
    <row r="36" spans="1:11" x14ac:dyDescent="0.5">
      <c r="A36" t="s">
        <v>29</v>
      </c>
    </row>
    <row r="37" spans="1:11" x14ac:dyDescent="0.5">
      <c r="A37" s="12">
        <v>1782530</v>
      </c>
      <c r="B37" s="14">
        <f>A37</f>
        <v>1782530</v>
      </c>
    </row>
    <row r="40" spans="1:11" x14ac:dyDescent="0.5">
      <c r="A40" t="s">
        <v>31</v>
      </c>
    </row>
    <row r="41" spans="1:11" x14ac:dyDescent="0.5">
      <c r="A41" s="12">
        <v>366</v>
      </c>
      <c r="B41" s="14">
        <f>A41</f>
        <v>366</v>
      </c>
    </row>
    <row r="43" spans="1:11" x14ac:dyDescent="0.5">
      <c r="A43" t="s">
        <v>30</v>
      </c>
      <c r="D43" s="9" t="s">
        <v>26</v>
      </c>
      <c r="E43" t="s">
        <v>30</v>
      </c>
      <c r="G43" s="9" t="s">
        <v>26</v>
      </c>
      <c r="H43" t="s">
        <v>30</v>
      </c>
      <c r="J43" s="9" t="s">
        <v>26</v>
      </c>
      <c r="K43" t="s">
        <v>30</v>
      </c>
    </row>
    <row r="44" spans="1:11" x14ac:dyDescent="0.5">
      <c r="A44" s="12">
        <v>1607</v>
      </c>
      <c r="B44" s="14">
        <f>A44</f>
        <v>1607</v>
      </c>
      <c r="D44" s="10" t="s">
        <v>24</v>
      </c>
      <c r="E44" s="11">
        <v>1.2445550715619166E-3</v>
      </c>
      <c r="G44" s="10" t="s">
        <v>24</v>
      </c>
      <c r="H44" s="11">
        <v>1.2445550715619166E-3</v>
      </c>
      <c r="J44" s="10" t="s">
        <v>24</v>
      </c>
      <c r="K44" s="11">
        <v>1.2445550715619166E-3</v>
      </c>
    </row>
    <row r="45" spans="1:11" x14ac:dyDescent="0.5">
      <c r="D45" s="10" t="s">
        <v>8</v>
      </c>
      <c r="E45" s="11">
        <v>0.24517734909769756</v>
      </c>
      <c r="G45" s="10" t="s">
        <v>8</v>
      </c>
      <c r="H45" s="11">
        <v>0.24517734909769756</v>
      </c>
      <c r="J45" s="10" t="s">
        <v>8</v>
      </c>
      <c r="K45" s="11">
        <v>0.24517734909769756</v>
      </c>
    </row>
    <row r="46" spans="1:11" x14ac:dyDescent="0.5">
      <c r="D46" s="10" t="s">
        <v>16</v>
      </c>
      <c r="E46" s="11">
        <v>9.085252022401992E-2</v>
      </c>
      <c r="G46" s="10" t="s">
        <v>16</v>
      </c>
      <c r="H46" s="11">
        <v>9.085252022401992E-2</v>
      </c>
      <c r="J46" s="10" t="s">
        <v>16</v>
      </c>
      <c r="K46" s="11">
        <v>9.085252022401992E-2</v>
      </c>
    </row>
    <row r="47" spans="1:11" x14ac:dyDescent="0.5">
      <c r="D47" s="10" t="s">
        <v>17</v>
      </c>
      <c r="E47" s="11">
        <v>8.8363410080896085E-2</v>
      </c>
      <c r="G47" s="10" t="s">
        <v>17</v>
      </c>
      <c r="H47" s="11">
        <v>8.8363410080896085E-2</v>
      </c>
      <c r="J47" s="10" t="s">
        <v>17</v>
      </c>
      <c r="K47" s="11">
        <v>8.8363410080896085E-2</v>
      </c>
    </row>
    <row r="48" spans="1:11" x14ac:dyDescent="0.5">
      <c r="D48" s="10" t="s">
        <v>15</v>
      </c>
      <c r="E48" s="11">
        <v>8.9607965152458002E-2</v>
      </c>
      <c r="G48" s="10" t="s">
        <v>15</v>
      </c>
      <c r="H48" s="11">
        <v>8.9607965152458002E-2</v>
      </c>
      <c r="J48" s="10" t="s">
        <v>15</v>
      </c>
      <c r="K48" s="11">
        <v>8.9607965152458002E-2</v>
      </c>
    </row>
    <row r="49" spans="4:11" x14ac:dyDescent="0.5">
      <c r="D49" s="10" t="s">
        <v>11</v>
      </c>
      <c r="E49" s="11">
        <v>0.22401991288114498</v>
      </c>
      <c r="G49" s="10" t="s">
        <v>11</v>
      </c>
      <c r="H49" s="11">
        <v>0.22401991288114498</v>
      </c>
      <c r="J49" s="10" t="s">
        <v>11</v>
      </c>
      <c r="K49" s="11">
        <v>0.22401991288114498</v>
      </c>
    </row>
    <row r="50" spans="4:11" x14ac:dyDescent="0.5">
      <c r="D50" s="10" t="s">
        <v>18</v>
      </c>
      <c r="E50" s="11">
        <v>0.26073428749222155</v>
      </c>
      <c r="G50" s="10" t="s">
        <v>18</v>
      </c>
      <c r="H50" s="11">
        <v>0.26073428749222155</v>
      </c>
      <c r="J50" s="10" t="s">
        <v>18</v>
      </c>
      <c r="K50" s="11">
        <v>0.26073428749222155</v>
      </c>
    </row>
    <row r="51" spans="4:11" x14ac:dyDescent="0.5">
      <c r="D51" s="10" t="s">
        <v>27</v>
      </c>
      <c r="E51" s="11">
        <v>1</v>
      </c>
      <c r="G51" s="10" t="s">
        <v>27</v>
      </c>
      <c r="H51" s="11">
        <v>1</v>
      </c>
      <c r="J51" s="10" t="s">
        <v>27</v>
      </c>
      <c r="K51" s="11">
        <v>1</v>
      </c>
    </row>
    <row r="58" spans="4:11" x14ac:dyDescent="0.5">
      <c r="H58" s="9" t="s">
        <v>26</v>
      </c>
      <c r="I58" t="s">
        <v>29</v>
      </c>
    </row>
    <row r="59" spans="4:11" x14ac:dyDescent="0.5">
      <c r="H59" s="10" t="s">
        <v>23</v>
      </c>
      <c r="I59">
        <v>24940</v>
      </c>
    </row>
    <row r="60" spans="4:11" x14ac:dyDescent="0.5">
      <c r="H60" s="10" t="s">
        <v>19</v>
      </c>
      <c r="I60">
        <v>339000</v>
      </c>
    </row>
    <row r="61" spans="4:11" x14ac:dyDescent="0.5">
      <c r="H61" s="10" t="s">
        <v>22</v>
      </c>
      <c r="I61">
        <v>66150</v>
      </c>
    </row>
    <row r="62" spans="4:11" x14ac:dyDescent="0.5">
      <c r="H62" s="10" t="s">
        <v>10</v>
      </c>
      <c r="I62">
        <v>934840</v>
      </c>
    </row>
    <row r="63" spans="4:11" x14ac:dyDescent="0.5">
      <c r="H63" s="10" t="s">
        <v>20</v>
      </c>
      <c r="I63">
        <v>352200</v>
      </c>
    </row>
    <row r="64" spans="4:11" x14ac:dyDescent="0.5">
      <c r="H64" s="10" t="s">
        <v>21</v>
      </c>
      <c r="I64">
        <v>65400</v>
      </c>
    </row>
    <row r="65" spans="7:11" x14ac:dyDescent="0.5">
      <c r="H65" s="10" t="s">
        <v>27</v>
      </c>
      <c r="I65">
        <v>1782530</v>
      </c>
    </row>
    <row r="67" spans="7:11" x14ac:dyDescent="0.5">
      <c r="G67" s="9" t="s">
        <v>26</v>
      </c>
      <c r="H67" t="s">
        <v>29</v>
      </c>
      <c r="J67" s="9" t="s">
        <v>26</v>
      </c>
      <c r="K67" t="s">
        <v>29</v>
      </c>
    </row>
    <row r="68" spans="7:11" x14ac:dyDescent="0.5">
      <c r="G68" s="10" t="s">
        <v>19</v>
      </c>
      <c r="H68">
        <v>339000</v>
      </c>
      <c r="J68" s="10" t="s">
        <v>23</v>
      </c>
      <c r="K68">
        <v>24940</v>
      </c>
    </row>
    <row r="69" spans="7:11" x14ac:dyDescent="0.5">
      <c r="G69" s="10" t="s">
        <v>10</v>
      </c>
      <c r="H69">
        <v>934840</v>
      </c>
      <c r="J69" s="10" t="s">
        <v>22</v>
      </c>
      <c r="K69">
        <v>66150</v>
      </c>
    </row>
    <row r="70" spans="7:11" x14ac:dyDescent="0.5">
      <c r="G70" s="10" t="s">
        <v>20</v>
      </c>
      <c r="H70">
        <v>352200</v>
      </c>
      <c r="J70" s="10" t="s">
        <v>21</v>
      </c>
      <c r="K70">
        <v>65400</v>
      </c>
    </row>
    <row r="71" spans="7:11" x14ac:dyDescent="0.5">
      <c r="G71" s="10" t="s">
        <v>27</v>
      </c>
      <c r="H71">
        <v>1626040</v>
      </c>
      <c r="J71" s="10" t="s">
        <v>27</v>
      </c>
      <c r="K71">
        <v>156490</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5C24E-E6C0-4435-AC0B-51FA3304AEB0}">
  <sheetPr codeName="Sheet4"/>
  <dimension ref="A1"/>
  <sheetViews>
    <sheetView showGridLines="0" workbookViewId="0"/>
  </sheetViews>
  <sheetFormatPr defaultRowHeight="18" x14ac:dyDescent="0.5"/>
  <sheetData>
    <row r="1" spans="1:1" x14ac:dyDescent="0.5">
      <c r="A1"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AFDB-95F0-40BE-B831-97E698D429D0}">
  <sheetPr codeName="Sheet5"/>
  <dimension ref="A1"/>
  <sheetViews>
    <sheetView showGridLines="0" zoomScale="99" workbookViewId="0"/>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70EF-9232-4A47-9DCE-A348A9118FEC}">
  <sheetPr codeName="Sheet6"/>
  <dimension ref="A1"/>
  <sheetViews>
    <sheetView showGridLines="0" zoomScale="99" zoomScaleNormal="85" workbookViewId="0"/>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Sheet3</vt:lpstr>
      <vt:lpstr>Sheet6</vt:lpstr>
      <vt:lpstr>15 avbh dashboard</vt:lpstr>
      <vt:lpstr>SALESMAN</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bhattavnish910@gmail.com</dc:creator>
  <cp:lastModifiedBy>bhattavnish910@gmail.com</cp:lastModifiedBy>
  <dcterms:created xsi:type="dcterms:W3CDTF">2026-01-19T17:29:20Z</dcterms:created>
  <dcterms:modified xsi:type="dcterms:W3CDTF">2026-08-27T08:43:49Z</dcterms:modified>
</cp:coreProperties>
</file>